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<sst xmlns="http://schemas.openxmlformats.org/spreadsheetml/2006/main" count="16890" uniqueCount="1105">
  <si>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</si>
  <si>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</si>
  <si>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</si>
  <si>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</si>
  <si>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</si>
  <si>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</si>
  <si>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</si>
  <si>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은수빈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</si>
  <si>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</si>
  <si>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</si>
  <si>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</si>
  <si>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</si>
  <si>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</si>
  <si>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</si>
  <si>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</si>
  <si>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</si>
  <si>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</si>
  <si>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</si>
  <si>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</si>
  <si>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</si>
  <si>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</si>
  <si>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</si>
  <si>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</si>
  <si>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</si>
  <si>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</si>
  <si>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</si>
  <si>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</si>
  <si>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</si>
  <si>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금융수입</t>
  </si>
  <si>
    <t>급여</t>
  </si>
  <si>
    <t>기타수입</t>
  </si>
  <si>
    <t>용돈</t>
  </si>
  <si>
    <t>미분류</t>
  </si>
  <si>
    <t>월수입 총계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</si>
  <si>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</si>
  <si>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</si>
  <si>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</si>
  <si>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</si>
  <si>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</si>
  <si>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</si>
  <si>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</si>
  <si>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</si>
  <si>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</si>
  <si>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</si>
  <si>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</si>
  <si>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</si>
  <si>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</si>
  <si>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</si>
  <si>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</si>
  <si>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</si>
  <si>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</si>
  <si>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</si>
  <si>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</si>
  <si>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</si>
  <si>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</si>
  <si>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</si>
  <si>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</si>
  <si>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</si>
  <si>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</si>
  <si>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KB나라사랑우대통장</t>
  </si>
  <si>
    <t>WON 통장</t>
  </si>
  <si>
    <t>생활통장</t>
  </si>
  <si>
    <t>세이프박스</t>
  </si>
  <si>
    <t>쏠편한 입출금통장(저축예금)</t>
  </si>
  <si>
    <t>입출금통장</t>
  </si>
  <si>
    <t>저축예금</t>
  </si>
  <si>
    <t>사업자 주거래 우대통장</t>
  </si>
  <si>
    <t>개인사업자 입출금통장</t>
  </si>
  <si>
    <t>신탁 자산</t>
  </si>
  <si>
    <t>현금 자산</t>
  </si>
  <si>
    <t>현금</t>
  </si>
  <si>
    <t>저축성 자산</t>
  </si>
  <si>
    <t>주택청약종합저축</t>
  </si>
  <si>
    <t>전자금융 자산</t>
  </si>
  <si>
    <t>카카오페이 머니 - 010*****635</t>
  </si>
  <si>
    <t>토스머니</t>
  </si>
  <si>
    <t>투자성 자산</t>
  </si>
  <si>
    <t>아이렌</t>
  </si>
  <si>
    <t>AMD</t>
  </si>
  <si>
    <t>비트마인 이머션 테크놀로지스</t>
  </si>
  <si>
    <t>KODEX 글로벌비만치료제TOP2 Plus</t>
  </si>
  <si>
    <t>비트마인 이머전 테크놀로지스</t>
  </si>
  <si>
    <t>써클 인터넷 그룹</t>
  </si>
  <si>
    <t>알테오젠</t>
  </si>
  <si>
    <t>TIGER 미국S&amp;P500</t>
  </si>
  <si>
    <t>연금저축</t>
  </si>
  <si>
    <t>위탁종합</t>
  </si>
  <si>
    <t>종합계좌</t>
  </si>
  <si>
    <t>종합매매</t>
  </si>
  <si>
    <t>주식계좌</t>
  </si>
  <si>
    <t>중개형ISA</t>
  </si>
  <si>
    <t>집합투자증권</t>
  </si>
  <si>
    <t>부동산</t>
  </si>
  <si>
    <t>동산</t>
  </si>
  <si>
    <t>기타 실물 자산</t>
  </si>
  <si>
    <t>보험 자산</t>
  </si>
  <si>
    <t>연금 자산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</si>
  <si>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</si>
  <si>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</si>
  <si>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</si>
  <si>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</si>
  <si>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</si>
  <si>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</si>
  <si>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</si>
  <si>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</si>
  <si>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</si>
  <si>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</si>
  <si>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</si>
  <si>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</si>
  <si>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보유계약건수</t>
  </si>
  <si>
    <t>정상 0건</t>
  </si>
  <si>
    <t>총 납입금</t>
  </si>
  <si>
    <t>총 0건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</si>
  <si>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</si>
  <si>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</si>
  <si>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</si>
  <si>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</si>
  <si>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</si>
  <si>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</si>
  <si>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</si>
  <si>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</si>
  <si>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</si>
  <si>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</si>
  <si>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삼성증권</t>
  </si>
  <si>
    <t>카카오페이 증권</t>
  </si>
  <si>
    <t>보유상품개수</t>
  </si>
  <si>
    <t>총 투자 원금</t>
  </si>
  <si>
    <t>총 평가 금액</t>
  </si>
  <si>
    <t>총 수익률</t>
  </si>
  <si>
    <t>총 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</si>
  <si>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</si>
  <si>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</si>
  <si>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</si>
  <si>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</si>
  <si>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</si>
  <si>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</si>
  <si>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</si>
  <si>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</si>
  <si>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</si>
  <si>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</si>
  <si>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</si>
  <si>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</si>
  <si>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</si>
  <si>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</si>
  <si>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</si>
  <si>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</si>
  <si>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</si>
  <si>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</si>
  <si>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</si>
  <si>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</si>
  <si>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</si>
  <si>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배달</t>
  </si>
  <si>
    <t>쿠팡이츠</t>
  </si>
  <si>
    <t>KRW</t>
  </si>
  <si>
    <t>개인사업자 체크카드_MC_후불교통_럭키라이언</t>
  </si>
  <si>
    <t>이체</t>
  </si>
  <si>
    <t>문*주</t>
  </si>
  <si>
    <t>카카오페이 머니</t>
  </si>
  <si>
    <t>내계좌이체</t>
  </si>
  <si>
    <t>은*빈</t>
  </si>
  <si>
    <t>카카오페이</t>
  </si>
  <si>
    <t>박지훈</t>
  </si>
  <si>
    <t>인터넷쇼핑</t>
  </si>
  <si>
    <t>주식회사 카카오</t>
  </si>
  <si>
    <t>카카오페이 간편결제</t>
  </si>
  <si>
    <t>장우혁</t>
  </si>
  <si>
    <t>쿠팡(쿠페이)</t>
  </si>
  <si>
    <t>수입</t>
  </si>
  <si>
    <t>Your Smart</t>
  </si>
  <si>
    <t>대중교통</t>
  </si>
  <si>
    <t>Your Smart WING, SWING</t>
  </si>
  <si>
    <t>토스 간편결제</t>
  </si>
  <si>
    <t>편의점</t>
  </si>
  <si>
    <t>토스페이</t>
  </si>
  <si>
    <t>택시</t>
  </si>
  <si>
    <t>카카오T일반택시_0</t>
  </si>
  <si>
    <t>카카오T택시_가승인</t>
  </si>
  <si>
    <t>한식</t>
  </si>
  <si>
    <t>오봉집 삼성점</t>
  </si>
  <si>
    <t>김*헌</t>
  </si>
  <si>
    <t>CHA*****GYU</t>
  </si>
  <si>
    <t>정*서</t>
  </si>
  <si>
    <t>박*우</t>
  </si>
  <si>
    <t>신*현</t>
  </si>
  <si>
    <t>이*욱</t>
  </si>
  <si>
    <t>커피/음료</t>
  </si>
  <si>
    <t>(주)학산 테라로사커</t>
  </si>
  <si>
    <t>GCOO</t>
  </si>
  <si>
    <t>예금결산이자</t>
  </si>
  <si>
    <t>입금 내역</t>
  </si>
  <si>
    <t>12.20~03.20</t>
  </si>
  <si>
    <t>은행</t>
  </si>
  <si>
    <t>송금 내역</t>
  </si>
  <si>
    <t>정혜령</t>
  </si>
  <si>
    <t>용인기흥구(은수빈)</t>
  </si>
  <si>
    <t>제이디지탈</t>
  </si>
  <si>
    <t>기타간식</t>
  </si>
  <si>
    <t>랭스터디카페 신촌점</t>
  </si>
  <si>
    <t>최*욱</t>
  </si>
  <si>
    <t>빔모빌리티코리아 유한책임회사</t>
  </si>
  <si>
    <t>이*제</t>
  </si>
  <si>
    <t>스포츠</t>
  </si>
  <si>
    <t>FACEBK *3X84TLHEH2     Dublin        IRL</t>
  </si>
  <si>
    <t>최승민</t>
  </si>
  <si>
    <t>황*오</t>
  </si>
  <si>
    <t>김*현</t>
  </si>
  <si>
    <t>하*원</t>
  </si>
  <si>
    <t>김*형</t>
  </si>
  <si>
    <t>신*철</t>
  </si>
  <si>
    <t>현*진</t>
  </si>
  <si>
    <t>유*성</t>
  </si>
  <si>
    <t>적립 내역</t>
  </si>
  <si>
    <t>양식</t>
  </si>
  <si>
    <t>캐치테이블</t>
  </si>
  <si>
    <t>프렌즈 체크카드_MC_후불교통_블랙</t>
  </si>
  <si>
    <t>전창훈</t>
  </si>
  <si>
    <t>안지은</t>
  </si>
  <si>
    <t>육정원</t>
  </si>
  <si>
    <t>김효우</t>
  </si>
  <si>
    <t>장승호</t>
  </si>
  <si>
    <t>서재윤</t>
  </si>
  <si>
    <t>김종국</t>
  </si>
  <si>
    <t>김재랑</t>
  </si>
  <si>
    <t>생필품</t>
  </si>
  <si>
    <t>주식회사 아성다이소</t>
  </si>
  <si>
    <t>서비스구독</t>
  </si>
  <si>
    <t>(주)한글과컴퓨터</t>
  </si>
  <si>
    <t>하시은</t>
  </si>
  <si>
    <t>WWW.MAKE.COM           NEW YORK      USA</t>
  </si>
  <si>
    <t>투자</t>
  </si>
  <si>
    <t>박성란고3</t>
  </si>
  <si>
    <t>김세중</t>
  </si>
  <si>
    <t>성신영</t>
  </si>
  <si>
    <t>정현욱</t>
  </si>
  <si>
    <t>이태영</t>
  </si>
  <si>
    <t>문형주</t>
  </si>
  <si>
    <t>은수빈(모임통**</t>
  </si>
  <si>
    <t>윤채원</t>
  </si>
  <si>
    <t>후불교통대금</t>
  </si>
  <si>
    <t>구명준</t>
  </si>
  <si>
    <t>최은교</t>
  </si>
  <si>
    <t>저축</t>
  </si>
  <si>
    <t>개인사업자 체크카드 캐시백</t>
  </si>
  <si>
    <t>프렌즈 체크카드 캐시백</t>
  </si>
  <si>
    <t>박걸</t>
  </si>
  <si>
    <t>권동영</t>
  </si>
  <si>
    <t>쿠팡</t>
  </si>
  <si>
    <t>이효순</t>
  </si>
  <si>
    <t>김요섭</t>
  </si>
  <si>
    <t>OPENAI                 SAN FRANCISCO USA</t>
  </si>
  <si>
    <t>김은서</t>
  </si>
  <si>
    <t>가구/가전</t>
  </si>
  <si>
    <t>주식회사 버킷플레이스</t>
  </si>
  <si>
    <t>박한흠</t>
  </si>
  <si>
    <t>정다울</t>
  </si>
  <si>
    <t>APPLE</t>
  </si>
  <si>
    <t>차재원</t>
  </si>
  <si>
    <t>하은혜</t>
  </si>
  <si>
    <t>홍가인</t>
  </si>
  <si>
    <t>최원석</t>
  </si>
  <si>
    <t>결제/충전</t>
  </si>
  <si>
    <t>네이버페이충전</t>
  </si>
  <si>
    <t>이준재</t>
  </si>
  <si>
    <t>임나연</t>
  </si>
  <si>
    <t>쿠팡(와우 멤버십)</t>
  </si>
  <si>
    <t>김주영</t>
  </si>
  <si>
    <t>카드</t>
  </si>
  <si>
    <t>현대카드</t>
  </si>
  <si>
    <t>김지원</t>
  </si>
  <si>
    <t>조성우</t>
  </si>
  <si>
    <t>박진우</t>
  </si>
  <si>
    <t>김준혁</t>
  </si>
  <si>
    <t>서준우</t>
  </si>
  <si>
    <t>박현준</t>
  </si>
  <si>
    <t>이자</t>
  </si>
  <si>
    <t>김다슬</t>
  </si>
  <si>
    <t>최태웅</t>
  </si>
  <si>
    <t>박준형</t>
  </si>
  <si>
    <t>입출금통장 이자</t>
  </si>
  <si>
    <t>정기이자 입금</t>
  </si>
  <si>
    <t>02 월 지하철 2건</t>
  </si>
  <si>
    <t>02 월 버스 3건</t>
  </si>
  <si>
    <t>최지원</t>
  </si>
  <si>
    <t>나이스정보통신 주식회사</t>
  </si>
  <si>
    <t>윤인성</t>
  </si>
  <si>
    <t>도현진</t>
  </si>
  <si>
    <t>스포츠의류</t>
  </si>
  <si>
    <t>유한회사 나이키코리아</t>
  </si>
  <si>
    <t>오준우</t>
  </si>
  <si>
    <t>이호준</t>
  </si>
  <si>
    <t>금시준</t>
  </si>
  <si>
    <t>이채윤</t>
  </si>
  <si>
    <t>휴대폰</t>
  </si>
  <si>
    <t>주식회사 케이티</t>
  </si>
  <si>
    <t>이*민</t>
  </si>
  <si>
    <t>김*윤</t>
  </si>
  <si>
    <t>김*준</t>
  </si>
  <si>
    <t>박민재</t>
  </si>
  <si>
    <t>바(BAR)</t>
  </si>
  <si>
    <t>주식회사 데일리샷</t>
  </si>
  <si>
    <t>FACEBK *8255BJHEH2     Dublin        IRL</t>
  </si>
  <si>
    <t>안제후</t>
  </si>
  <si>
    <t>은영규</t>
  </si>
  <si>
    <t>구도이</t>
  </si>
  <si>
    <t>패션</t>
  </si>
  <si>
    <t>포레</t>
  </si>
  <si>
    <t>정현우</t>
  </si>
  <si>
    <t>이규선</t>
  </si>
  <si>
    <t>소순우</t>
  </si>
  <si>
    <t>메가엠지씨커피 대치</t>
  </si>
  <si>
    <t>고기어른</t>
  </si>
  <si>
    <t>이현지</t>
  </si>
  <si>
    <t>이대현</t>
  </si>
  <si>
    <t>장환용</t>
  </si>
  <si>
    <t>카카오T포인트</t>
  </si>
  <si>
    <t>앱스토어</t>
  </si>
  <si>
    <t>Apple Inc</t>
  </si>
  <si>
    <t>황진성</t>
  </si>
  <si>
    <t>송지율</t>
  </si>
  <si>
    <t>이도경</t>
  </si>
  <si>
    <t>최민기</t>
  </si>
  <si>
    <t>서재원</t>
  </si>
  <si>
    <t>학원/강의</t>
  </si>
  <si>
    <t>퓨쳐스콜레</t>
  </si>
  <si>
    <t>장소연</t>
  </si>
  <si>
    <t>정준서</t>
  </si>
  <si>
    <t>이주연</t>
  </si>
  <si>
    <t>신성철</t>
  </si>
  <si>
    <t>김수한</t>
  </si>
  <si>
    <t>이성민</t>
  </si>
  <si>
    <t>이윤제</t>
  </si>
  <si>
    <t>황준오</t>
  </si>
  <si>
    <t>김호중</t>
  </si>
  <si>
    <t>전유석</t>
  </si>
  <si>
    <t>김태현</t>
  </si>
  <si>
    <t>최륜혁</t>
  </si>
  <si>
    <t>최은준</t>
  </si>
  <si>
    <t>유지성</t>
  </si>
  <si>
    <t>이경순</t>
  </si>
  <si>
    <t>권정화</t>
  </si>
  <si>
    <t>김봉수</t>
  </si>
  <si>
    <t>곽수현</t>
  </si>
  <si>
    <t>이자/대출</t>
  </si>
  <si>
    <t>이준호(완차이)</t>
  </si>
  <si>
    <t>최민석</t>
  </si>
  <si>
    <t>이성범</t>
  </si>
  <si>
    <t>김연정</t>
  </si>
  <si>
    <t>이태윤</t>
  </si>
  <si>
    <t>24 박성민</t>
  </si>
  <si>
    <t>이현도</t>
  </si>
  <si>
    <t>박건우</t>
  </si>
  <si>
    <t>신종현</t>
  </si>
  <si>
    <t>23김지우</t>
  </si>
  <si>
    <t>신우섭</t>
  </si>
  <si>
    <t>강윤미</t>
  </si>
  <si>
    <t>오준석</t>
  </si>
  <si>
    <t>임수진</t>
  </si>
  <si>
    <t>김규형</t>
  </si>
  <si>
    <t>하경원</t>
  </si>
  <si>
    <t>양승협</t>
  </si>
  <si>
    <t>김수연</t>
  </si>
  <si>
    <t>심준원</t>
  </si>
  <si>
    <t>일프레소 대치</t>
  </si>
  <si>
    <t>업비트 입금</t>
  </si>
  <si>
    <t>카카오T일반택시(법</t>
  </si>
  <si>
    <t>FACEBK *VNNBLERDH2     fb.me/ads     IRL</t>
  </si>
  <si>
    <t>FACEBK *S8VD2HHEH2     fb.me/ads     IRL</t>
  </si>
  <si>
    <t>김승원</t>
  </si>
  <si>
    <t>24시카페인코너(24hca</t>
  </si>
  <si>
    <t>이지호</t>
  </si>
  <si>
    <t>은수빈(아크미딥솔)</t>
  </si>
  <si>
    <t>김서진</t>
  </si>
  <si>
    <t>쿠팡와우월회비</t>
  </si>
  <si>
    <t>정유찬</t>
  </si>
  <si>
    <t>식재료</t>
  </si>
  <si>
    <t>아라마크주식화사</t>
  </si>
  <si>
    <t>은수빈(딥솔)</t>
  </si>
  <si>
    <t>세금/과태료</t>
  </si>
  <si>
    <t>국세-딥솔</t>
  </si>
  <si>
    <t>이마트24 연대제중학</t>
  </si>
  <si>
    <t>생활서비스</t>
  </si>
  <si>
    <t>캠퍼스파트너스주식회사</t>
  </si>
  <si>
    <t>최민교</t>
  </si>
  <si>
    <t>CU연세동문점</t>
  </si>
  <si>
    <t>사료/간식</t>
  </si>
  <si>
    <t>(주)대주산업 횡성(</t>
  </si>
  <si>
    <t>이제형</t>
  </si>
  <si>
    <t>에펠루아 월화점</t>
  </si>
  <si>
    <t>세븐일레븐 강릉강문</t>
  </si>
  <si>
    <t>숙박비</t>
  </si>
  <si>
    <t>호텔4U 컴퍼니</t>
  </si>
  <si>
    <t>키다리식품 (주)홍천</t>
  </si>
  <si>
    <t>발급수수료</t>
  </si>
  <si>
    <t>우리5350</t>
  </si>
  <si>
    <t>정여겸</t>
  </si>
  <si>
    <t>구글페이먼트코리아 유한회사</t>
  </si>
  <si>
    <t>피부과</t>
  </si>
  <si>
    <t>밴스의원 신촌</t>
  </si>
  <si>
    <t>안혜준</t>
  </si>
  <si>
    <t>와인</t>
  </si>
  <si>
    <t>드래곤마운틴(Dragon</t>
  </si>
  <si>
    <t>영화</t>
  </si>
  <si>
    <t>CJ CGV(주)</t>
  </si>
  <si>
    <t>백화점</t>
  </si>
  <si>
    <t>더현대 서울</t>
  </si>
  <si>
    <t>GS25연대동문점</t>
  </si>
  <si>
    <t>주식회사 세무사를찾는사람들</t>
  </si>
  <si>
    <t>이주한</t>
  </si>
  <si>
    <t>주식회사 여기어때컴퍼니</t>
  </si>
  <si>
    <t>여행</t>
  </si>
  <si>
    <t>도서</t>
  </si>
  <si>
    <t>예스이십사주식회사</t>
  </si>
  <si>
    <t>김다진</t>
  </si>
  <si>
    <t>풍년닭도리탕 신촌직</t>
  </si>
  <si>
    <t>양준혁</t>
  </si>
  <si>
    <t>보조식품</t>
  </si>
  <si>
    <t>동아오츠카(주)남부</t>
  </si>
  <si>
    <t>(주)새벽집</t>
  </si>
  <si>
    <t>안진영</t>
  </si>
  <si>
    <t>신명철</t>
  </si>
  <si>
    <t>담산 신촌본점</t>
  </si>
  <si>
    <t>(주)서플라이스(SUPPL</t>
  </si>
  <si>
    <t>ATM출금</t>
  </si>
  <si>
    <t>박주현</t>
  </si>
  <si>
    <t>이준익</t>
  </si>
  <si>
    <t>주식회사북한산캠핑장</t>
  </si>
  <si>
    <t>489현대카드</t>
  </si>
  <si>
    <t>마트</t>
  </si>
  <si>
    <t>이마트 신촌점</t>
  </si>
  <si>
    <t>전지헌</t>
  </si>
  <si>
    <t>김세은</t>
  </si>
  <si>
    <t>박정빈</t>
  </si>
  <si>
    <t>(주)다산북스</t>
  </si>
  <si>
    <t>반현승</t>
  </si>
  <si>
    <t>박서현</t>
  </si>
  <si>
    <t>바디메이커</t>
  </si>
  <si>
    <t>김남희</t>
  </si>
  <si>
    <t>FACEBK *ZXE7VCDEH2     Dublin        IRL</t>
  </si>
  <si>
    <t>취미/체험</t>
  </si>
  <si>
    <t>(주)이터널로그 성수</t>
  </si>
  <si>
    <t>보니(니드)</t>
  </si>
  <si>
    <t>GS25성수세대점</t>
  </si>
  <si>
    <t>네이버페이결제</t>
  </si>
  <si>
    <t>박수인</t>
  </si>
  <si>
    <t>민선형</t>
  </si>
  <si>
    <t>세븐일레븐 신촌유플렉스점</t>
  </si>
  <si>
    <t>지에스25신촌으뜸점</t>
  </si>
  <si>
    <t>요리주점</t>
  </si>
  <si>
    <t>청담동포장마차콩나</t>
  </si>
  <si>
    <t>원성욱</t>
  </si>
  <si>
    <t>은수빈(모임통장)</t>
  </si>
  <si>
    <t>반달곰 문화공간(카</t>
  </si>
  <si>
    <t>펫용품</t>
  </si>
  <si>
    <t>뽑고가냥</t>
  </si>
  <si>
    <t>대현매운족발</t>
  </si>
  <si>
    <t>이정우</t>
  </si>
  <si>
    <t>추재민</t>
  </si>
  <si>
    <t>음악</t>
  </si>
  <si>
    <t>야생마</t>
  </si>
  <si>
    <t>씨유 신촌연세로점</t>
  </si>
  <si>
    <t>전민준</t>
  </si>
  <si>
    <t>메가MGC커피 서대문</t>
  </si>
  <si>
    <t>지에스25 연남타운점</t>
  </si>
  <si>
    <t>일식</t>
  </si>
  <si>
    <t>(주)바다회사랑</t>
  </si>
  <si>
    <t>박경원수빈님땡큐</t>
  </si>
  <si>
    <t>김서하</t>
  </si>
  <si>
    <t>노희란</t>
  </si>
  <si>
    <t>약국</t>
  </si>
  <si>
    <t>8번가위드팜약국</t>
  </si>
  <si>
    <t>이병준</t>
  </si>
  <si>
    <t>제로인제로(zero in z</t>
  </si>
  <si>
    <t>노운겸</t>
  </si>
  <si>
    <t>포토이즘박스 여의도</t>
  </si>
  <si>
    <t>강희진</t>
  </si>
  <si>
    <t>이화다방</t>
  </si>
  <si>
    <t>정승후</t>
  </si>
  <si>
    <t>연세대학교 생활협동</t>
  </si>
  <si>
    <t>송금 취소 내역</t>
  </si>
  <si>
    <t>윤예서</t>
  </si>
  <si>
    <t>최온유</t>
  </si>
  <si>
    <t>손수아</t>
  </si>
  <si>
    <t>철도</t>
  </si>
  <si>
    <t>12 월 지하철 2건</t>
  </si>
  <si>
    <t>12 월 버스 11건</t>
  </si>
  <si>
    <t>세븐일레븐 신촌유플</t>
  </si>
  <si>
    <t>게임</t>
  </si>
  <si>
    <t>아크피씨</t>
  </si>
  <si>
    <t>정윤재</t>
  </si>
  <si>
    <t>공수정</t>
  </si>
  <si>
    <t>조한빈</t>
  </si>
  <si>
    <t>신발</t>
  </si>
  <si>
    <t>마호(MAHO)</t>
  </si>
  <si>
    <t>스탬파</t>
  </si>
  <si>
    <t>티머니택시(법인)_4</t>
  </si>
  <si>
    <t>고기</t>
  </si>
  <si>
    <t>족발 신선생</t>
  </si>
  <si>
    <t>지에스25 남가좌아이</t>
  </si>
  <si>
    <t>홍예준</t>
  </si>
  <si>
    <t>정소이</t>
  </si>
  <si>
    <t>장경현</t>
  </si>
  <si>
    <t>맑은약국</t>
  </si>
  <si>
    <t>김형민</t>
  </si>
  <si>
    <t>성형외과</t>
  </si>
  <si>
    <t>더원츠의원</t>
  </si>
  <si>
    <t>김태완</t>
  </si>
  <si>
    <t>카카오(c)</t>
  </si>
  <si>
    <t>WIX.COM                SAN FRANCISCO USA</t>
  </si>
  <si>
    <t>이승헌</t>
  </si>
  <si>
    <t>씨유 연세동문점</t>
  </si>
  <si>
    <t>꿈공스터디카페 연대</t>
  </si>
  <si>
    <t>이윤슬</t>
  </si>
  <si>
    <t>검정고시 정진수</t>
  </si>
  <si>
    <t>이현서</t>
  </si>
  <si>
    <t>심동혁</t>
  </si>
  <si>
    <t>신채은</t>
  </si>
  <si>
    <t>FACEBK *TDWD7BRDH2     Dublin        IRL</t>
  </si>
  <si>
    <t>노성제</t>
  </si>
  <si>
    <t>SLACK T08RKFL8H88      DUBLIN 1      IRL</t>
  </si>
  <si>
    <t>포토그레이 이화여대</t>
  </si>
  <si>
    <t>(주)순현</t>
  </si>
  <si>
    <t>이원준(하영진)</t>
  </si>
  <si>
    <t>캠퍼스라운지</t>
  </si>
  <si>
    <t>권지혁</t>
  </si>
  <si>
    <t>혜화정</t>
  </si>
  <si>
    <t>김지후</t>
  </si>
  <si>
    <t>하루필름</t>
  </si>
  <si>
    <t>울티모</t>
  </si>
  <si>
    <t>김라희</t>
  </si>
  <si>
    <t>남성민</t>
  </si>
  <si>
    <t>(주)더커피코리아</t>
  </si>
  <si>
    <t>종로서적(주)본점</t>
  </si>
  <si>
    <t>문예준</t>
  </si>
  <si>
    <t>스타벅스계좌</t>
  </si>
  <si>
    <t>09.20~12.19</t>
  </si>
  <si>
    <t>이신혜</t>
  </si>
  <si>
    <t>투썸플레이스 신촌기</t>
  </si>
  <si>
    <t>제주도로담</t>
  </si>
  <si>
    <t>박그린</t>
  </si>
  <si>
    <t>채수임</t>
  </si>
  <si>
    <t>박시은</t>
  </si>
  <si>
    <t>김영순</t>
  </si>
  <si>
    <t>박지영</t>
  </si>
  <si>
    <t>WIX.COM 1214171779     SAN FRANCISCO USA</t>
  </si>
  <si>
    <t>윤유빈</t>
  </si>
  <si>
    <t>유하은</t>
  </si>
  <si>
    <t>윤건우</t>
  </si>
  <si>
    <t>김진서</t>
  </si>
  <si>
    <t>진형진</t>
  </si>
  <si>
    <t>존재의이유</t>
  </si>
  <si>
    <t>스타벅스코리아</t>
  </si>
  <si>
    <t>(주)케이지이니시스</t>
  </si>
  <si>
    <t>GS25연대동문회관점</t>
  </si>
  <si>
    <t>박월하</t>
  </si>
  <si>
    <t>한시형</t>
  </si>
  <si>
    <t>신우진</t>
  </si>
  <si>
    <t>이성운</t>
  </si>
  <si>
    <t>11 월 버스 8건</t>
  </si>
  <si>
    <t>11 월 지하철 4건</t>
  </si>
  <si>
    <t>김효경</t>
  </si>
  <si>
    <t>비뇨기과</t>
  </si>
  <si>
    <t>블루비뇨기과의원</t>
  </si>
  <si>
    <t>바나프레소신촌점</t>
  </si>
  <si>
    <t>빔모빌리티코리아 주식회사</t>
  </si>
  <si>
    <t>가비아</t>
  </si>
  <si>
    <t>무신사</t>
  </si>
  <si>
    <t>디저트/떡</t>
  </si>
  <si>
    <t>샐러디연세대점</t>
  </si>
  <si>
    <t>(주) 그라스소사이어티</t>
  </si>
  <si>
    <t>박윤우</t>
  </si>
  <si>
    <t>보연희</t>
  </si>
  <si>
    <t>씨유 연남꿈나무점</t>
  </si>
  <si>
    <t>번개장터 주식회사</t>
  </si>
  <si>
    <t>데이롱 카페 이대역</t>
  </si>
  <si>
    <t>아이스크림/빙수</t>
  </si>
  <si>
    <t>배스킨라빈스 이대역점</t>
  </si>
  <si>
    <t>제로스토어 신촌점</t>
  </si>
  <si>
    <t>전시/관람</t>
  </si>
  <si>
    <t>한국문화예술위원회</t>
  </si>
  <si>
    <t>무신사 머니</t>
  </si>
  <si>
    <t>윤석희</t>
  </si>
  <si>
    <t>이준희</t>
  </si>
  <si>
    <t>중식</t>
  </si>
  <si>
    <t>완차이</t>
  </si>
  <si>
    <t>토모</t>
  </si>
  <si>
    <t>토스003</t>
  </si>
  <si>
    <t>허종식</t>
  </si>
  <si>
    <t>979무신사</t>
  </si>
  <si>
    <t>박다승</t>
  </si>
  <si>
    <t>이예림</t>
  </si>
  <si>
    <t>손정빈</t>
  </si>
  <si>
    <t>조나현</t>
  </si>
  <si>
    <t>이지민</t>
  </si>
  <si>
    <t>아시아음식</t>
  </si>
  <si>
    <t>슬로우캘리 이대점</t>
  </si>
  <si>
    <t>토스PG무신사</t>
  </si>
  <si>
    <t>김삼보김치찌개</t>
  </si>
  <si>
    <t>최현준</t>
  </si>
  <si>
    <t>샤브로21신촌</t>
  </si>
  <si>
    <t>허정현</t>
  </si>
  <si>
    <t>세븐일레븐 신촌명물</t>
  </si>
  <si>
    <t>엘리트약국</t>
  </si>
  <si>
    <t>서울특징은수빈</t>
  </si>
  <si>
    <t>국고_은수빈</t>
  </si>
  <si>
    <t>시험료</t>
  </si>
  <si>
    <t>한국철도공사</t>
  </si>
  <si>
    <t>씨앗호떡 왕벌집 잔</t>
  </si>
  <si>
    <t>(주)상국이네</t>
  </si>
  <si>
    <t>바다산곰장어</t>
  </si>
  <si>
    <t>(주)에스엠디지털락</t>
  </si>
  <si>
    <t>테마파크</t>
  </si>
  <si>
    <t>롯데월드 어드벤처</t>
  </si>
  <si>
    <t>블루샥(해운대 중동</t>
  </si>
  <si>
    <t>밀양순대돼지국밥</t>
  </si>
  <si>
    <t>오륙도20호</t>
  </si>
  <si>
    <t>(주)톤쇼우</t>
  </si>
  <si>
    <t>까사부사노테라스</t>
  </si>
  <si>
    <t>(주)오랜지바다</t>
  </si>
  <si>
    <t>원앤온리 주식회사</t>
  </si>
  <si>
    <t>미포끝집해운대소문</t>
  </si>
  <si>
    <t>씨유(CU) 해운대구남</t>
  </si>
  <si>
    <t>화장품</t>
  </si>
  <si>
    <t>씨제이올리브영(주)</t>
  </si>
  <si>
    <t>해수기네 군것질</t>
  </si>
  <si>
    <t>뉴한국마트</t>
  </si>
  <si>
    <t>해운대명물튀김</t>
  </si>
  <si>
    <t>(주)세이브존리베라</t>
  </si>
  <si>
    <t>따봉</t>
  </si>
  <si>
    <t>민트플레이 해운대3</t>
  </si>
  <si>
    <t>베이커리</t>
  </si>
  <si>
    <t>(주)파리크라상서울</t>
  </si>
  <si>
    <t>박서연(나송운)</t>
  </si>
  <si>
    <t>10 월 지하철 6건</t>
  </si>
  <si>
    <t>10 월 버스 10건</t>
  </si>
  <si>
    <t>(주)카페꼼마</t>
  </si>
  <si>
    <t>쓰리팝피씨카페</t>
  </si>
  <si>
    <t>카발(CABAL)</t>
  </si>
  <si>
    <t>레벨업PC방 인천대입구역점</t>
  </si>
  <si>
    <t>더더</t>
  </si>
  <si>
    <t>장혁민의부대찌개</t>
  </si>
  <si>
    <t>GS25 신촌명물길점</t>
  </si>
  <si>
    <t>바다회사랑</t>
  </si>
  <si>
    <t>SLACK T08RKFL8H88      DUBLIN        IRL</t>
  </si>
  <si>
    <t>카공족 이대점</t>
  </si>
  <si>
    <t>항공권</t>
  </si>
  <si>
    <t>KT5861863510</t>
  </si>
  <si>
    <t>토스919</t>
  </si>
  <si>
    <t>업비트 출금</t>
  </si>
  <si>
    <t>내통장결제</t>
  </si>
  <si>
    <t>애일(aeil)</t>
  </si>
  <si>
    <t>춈(chome)</t>
  </si>
  <si>
    <t>510업비트</t>
  </si>
  <si>
    <t>김유리</t>
  </si>
  <si>
    <t>정은수</t>
  </si>
  <si>
    <t>주식회사 무신사페이먼츠</t>
  </si>
  <si>
    <t>카카오077</t>
  </si>
  <si>
    <t>GS25대치제일점</t>
  </si>
  <si>
    <t>은*규</t>
  </si>
  <si>
    <t>카카오983</t>
  </si>
  <si>
    <t>카카오196</t>
  </si>
  <si>
    <t>애플코리아유한회사</t>
  </si>
  <si>
    <t>제이영동양평(하)휴</t>
  </si>
  <si>
    <t>09 월 버스 4건</t>
  </si>
  <si>
    <t>뉴라인건축사사무소</t>
  </si>
  <si>
    <t>주차</t>
  </si>
  <si>
    <t>서울시설공단</t>
  </si>
  <si>
    <t>CU여의도선착장1호점</t>
  </si>
  <si>
    <t>금학식당</t>
  </si>
  <si>
    <t>의리대게</t>
  </si>
  <si>
    <t>장군문어</t>
  </si>
  <si>
    <t>유한회사 지플렉스</t>
  </si>
  <si>
    <t>웨일로 서울김포공항</t>
  </si>
  <si>
    <t>씨유 화곡동도점</t>
  </si>
  <si>
    <t>최진웅</t>
  </si>
  <si>
    <t>패스트푸드</t>
  </si>
  <si>
    <t>퀴즈노스 연대동문회</t>
  </si>
  <si>
    <t>GS25 연세장례식장</t>
  </si>
  <si>
    <t>주식회사 아트박스</t>
  </si>
  <si>
    <t>(주)현대백화점신촌</t>
  </si>
  <si>
    <t>낙산공원  북카페</t>
  </si>
  <si>
    <t>KT5861863509</t>
  </si>
  <si>
    <t>KIS정보통신</t>
  </si>
  <si>
    <t>삼해투</t>
  </si>
  <si>
    <t>우연화</t>
  </si>
  <si>
    <t>강민우</t>
  </si>
  <si>
    <t>06.21~09.19</t>
  </si>
  <si>
    <t>김승리</t>
  </si>
  <si>
    <t>송준혁(모임통장)</t>
  </si>
  <si>
    <t>(주)씨에스엠17</t>
  </si>
  <si>
    <t>정준혁</t>
  </si>
  <si>
    <t>박준홍</t>
  </si>
  <si>
    <t>(주) 아트박스 신촌</t>
  </si>
  <si>
    <t>주식회사스마트로</t>
  </si>
  <si>
    <t>조수경</t>
  </si>
  <si>
    <t>박준홍박진원</t>
  </si>
  <si>
    <t>보험</t>
  </si>
  <si>
    <t>김다래(라 플로레종</t>
  </si>
  <si>
    <t>씨유 연대봉원점</t>
  </si>
  <si>
    <t>신영익</t>
  </si>
  <si>
    <t>김가원</t>
  </si>
  <si>
    <t>FACEBK *QQ78DY8EH2     Dublin        IRL</t>
  </si>
  <si>
    <t>공3개공가방</t>
  </si>
  <si>
    <t>정승우</t>
  </si>
  <si>
    <t>박찬진</t>
  </si>
  <si>
    <t>08 월 버스 10건</t>
  </si>
  <si>
    <t>08 월 지하철 9건</t>
  </si>
  <si>
    <t>이성훈</t>
  </si>
  <si>
    <t>네이버7214</t>
  </si>
  <si>
    <t>파리바게뜨 카페이대</t>
  </si>
  <si>
    <t>제이티</t>
  </si>
  <si>
    <t>씨제이올리브영 주식회사</t>
  </si>
  <si>
    <t>유소바</t>
  </si>
  <si>
    <t>연세대학교의료원</t>
  </si>
  <si>
    <t>배연우</t>
  </si>
  <si>
    <t>이마트24 연대제중학사점</t>
  </si>
  <si>
    <t>나이스페이먼츠 주식회사</t>
  </si>
  <si>
    <t>KREAM</t>
  </si>
  <si>
    <t>평화연남</t>
  </si>
  <si>
    <t>아라마크(주) 페어그</t>
  </si>
  <si>
    <t>토스295</t>
  </si>
  <si>
    <t>김혜원</t>
  </si>
  <si>
    <t>노이 이탈리안 하우</t>
  </si>
  <si>
    <t>서*현</t>
  </si>
  <si>
    <t>KT5861863508</t>
  </si>
  <si>
    <t>이*현</t>
  </si>
  <si>
    <t>변진우</t>
  </si>
  <si>
    <t>박제영</t>
  </si>
  <si>
    <t>흑갈후</t>
  </si>
  <si>
    <t>새별</t>
  </si>
  <si>
    <t>유한회사새별헤이요</t>
  </si>
  <si>
    <t>박준</t>
  </si>
  <si>
    <t>느랑</t>
  </si>
  <si>
    <t>씨유제주동남점</t>
  </si>
  <si>
    <t>변장훈</t>
  </si>
  <si>
    <t>우도해운(주)</t>
  </si>
  <si>
    <t>우도앤살레</t>
  </si>
  <si>
    <t>FACEBK *D4PW7Y4EH2     Dublin        IRL</t>
  </si>
  <si>
    <t>최진영</t>
  </si>
  <si>
    <t>(주)코드넷 제주공항</t>
  </si>
  <si>
    <t>주식회사 지바이크</t>
  </si>
  <si>
    <t>문혜주</t>
  </si>
  <si>
    <t>김태윤</t>
  </si>
  <si>
    <t>김나혜멘티</t>
  </si>
  <si>
    <t>김부건</t>
  </si>
  <si>
    <t>지에스25광진팰리스</t>
  </si>
  <si>
    <t>강태희</t>
  </si>
  <si>
    <t>이자카야</t>
  </si>
  <si>
    <t>아루쿠</t>
  </si>
  <si>
    <t>(주)**</t>
  </si>
  <si>
    <t>도로소파</t>
  </si>
  <si>
    <t>754업비트</t>
  </si>
  <si>
    <t>5283케이계좌개설</t>
  </si>
  <si>
    <t>정채성</t>
  </si>
  <si>
    <t>장선아</t>
  </si>
  <si>
    <t>최아록</t>
  </si>
  <si>
    <t>한건호</t>
  </si>
  <si>
    <t>이승원하나고3</t>
  </si>
  <si>
    <t>459업비트</t>
  </si>
  <si>
    <t>타이프(TYPE)</t>
  </si>
  <si>
    <t>민성은</t>
  </si>
  <si>
    <t>665업비트</t>
  </si>
  <si>
    <t>장재영</t>
  </si>
  <si>
    <t>김재민</t>
  </si>
  <si>
    <t>할리스커피강남역점</t>
  </si>
  <si>
    <t>장지웅</t>
  </si>
  <si>
    <t>대출</t>
  </si>
  <si>
    <t>이준상하나고</t>
  </si>
  <si>
    <t>마리모</t>
  </si>
  <si>
    <t>포토이즘박스 도산점</t>
  </si>
  <si>
    <t>OLIVER</t>
  </si>
  <si>
    <t>코레일유통주식회사(</t>
  </si>
  <si>
    <t>(주  )코벤시스</t>
  </si>
  <si>
    <t>정수열</t>
  </si>
  <si>
    <t>김태훈</t>
  </si>
  <si>
    <t>FACEBK *UFQUBWYDH2     Dublin        IRL</t>
  </si>
  <si>
    <t>07 월 지하철 10건</t>
  </si>
  <si>
    <t>07 월 버스 4건</t>
  </si>
  <si>
    <t>성민규</t>
  </si>
  <si>
    <t>맥도날드연세대점</t>
  </si>
  <si>
    <t>심예원</t>
  </si>
  <si>
    <t>이준서</t>
  </si>
  <si>
    <t>김아령</t>
  </si>
  <si>
    <t>최지훈</t>
  </si>
  <si>
    <t>박채연</t>
  </si>
  <si>
    <t>모티브 신촌본점</t>
  </si>
  <si>
    <t>더크다이브</t>
  </si>
  <si>
    <t>마연우</t>
  </si>
  <si>
    <t>보승회관</t>
  </si>
  <si>
    <t>임하진</t>
  </si>
  <si>
    <t>CU신촌연세로점</t>
  </si>
  <si>
    <t>방지윤</t>
  </si>
  <si>
    <t>이마트24 R연세로점</t>
  </si>
  <si>
    <t>(주)워커스하이</t>
  </si>
  <si>
    <t>위블레(oui ble)</t>
  </si>
  <si>
    <t>정윤찬</t>
  </si>
  <si>
    <t>박현길</t>
  </si>
  <si>
    <t>이진영</t>
  </si>
  <si>
    <t>서시아</t>
  </si>
  <si>
    <t>홍유나</t>
  </si>
  <si>
    <t>추*현</t>
  </si>
  <si>
    <t>러반로제레스토랑</t>
  </si>
  <si>
    <t>박율자</t>
  </si>
  <si>
    <t>용인기흥구(은수</t>
  </si>
  <si>
    <t>최호성</t>
  </si>
  <si>
    <t>은수빈용돈</t>
  </si>
  <si>
    <t>서*영</t>
  </si>
  <si>
    <t>김민혁</t>
  </si>
  <si>
    <t>국세-은수빈</t>
  </si>
  <si>
    <t>대치2동주민센터</t>
  </si>
  <si>
    <t>세븐일레븐 M신촌역</t>
  </si>
  <si>
    <t>최병민</t>
  </si>
  <si>
    <t>조항준</t>
  </si>
  <si>
    <t>추지현</t>
  </si>
  <si>
    <t>쿠히치</t>
  </si>
  <si>
    <t>김한성</t>
  </si>
  <si>
    <t>KT5861863507</t>
  </si>
  <si>
    <t>연세대학교 의료원</t>
  </si>
  <si>
    <t>파리크라상  파스쿠</t>
  </si>
  <si>
    <t>쏠티캐빈 화이트</t>
  </si>
  <si>
    <t>FACEBK *W2M8KU8EH2     Dublin        IRL</t>
  </si>
  <si>
    <t>김나혜학생</t>
  </si>
  <si>
    <t>이마트24 R연세대SK학사점</t>
  </si>
  <si>
    <t>김지은</t>
  </si>
  <si>
    <t>투썸플레이스 신촌연</t>
  </si>
  <si>
    <t>조유상</t>
  </si>
  <si>
    <t>변수빈</t>
  </si>
  <si>
    <t>김태유</t>
  </si>
  <si>
    <t>문자ON (카드)</t>
  </si>
  <si>
    <t>고경현</t>
  </si>
  <si>
    <t>육쌈냉면</t>
  </si>
  <si>
    <t>조이현</t>
  </si>
  <si>
    <t>박서연한명희</t>
  </si>
  <si>
    <t>임시카드환불</t>
  </si>
  <si>
    <t>세계과자할인점 신촌</t>
  </si>
  <si>
    <t>홍윤채</t>
  </si>
  <si>
    <t>서은주(채움)</t>
  </si>
  <si>
    <t>포베이 세브란스암</t>
  </si>
  <si>
    <t>(주)카카오</t>
  </si>
  <si>
    <t>카카오316</t>
  </si>
  <si>
    <t>카카오723</t>
  </si>
  <si>
    <t>김세아</t>
  </si>
  <si>
    <t>신수진</t>
  </si>
  <si>
    <t>FACEBK *B6M9XU4EH2     Dublin        IRL</t>
  </si>
  <si>
    <t>06 월 지하철 12건</t>
  </si>
  <si>
    <t>06 월 버스 12건</t>
  </si>
  <si>
    <t>CURSOR, AI POWERED IDE</t>
  </si>
  <si>
    <t>송종현</t>
  </si>
  <si>
    <t>런던베이글뮤지엄 안</t>
  </si>
  <si>
    <t>박범진</t>
  </si>
  <si>
    <t>주승규</t>
  </si>
  <si>
    <t>신재원</t>
  </si>
  <si>
    <t>이시현</t>
  </si>
  <si>
    <t>김지안</t>
  </si>
  <si>
    <t>손현우</t>
  </si>
  <si>
    <t>날리</t>
  </si>
  <si>
    <t>CURSOR, AI POWERED IDE NEW YORK      USA</t>
  </si>
  <si>
    <t>정혜진</t>
  </si>
  <si>
    <t>송주훈</t>
  </si>
  <si>
    <t>문정욱</t>
  </si>
  <si>
    <t>딤딤섬 파르나스몰점</t>
  </si>
  <si>
    <t>주)한무쇼핑(현대백</t>
  </si>
  <si>
    <t>투썸플레이스 대치선</t>
  </si>
  <si>
    <t>지창배</t>
  </si>
  <si>
    <t>표건형</t>
  </si>
  <si>
    <t>벅채원</t>
  </si>
  <si>
    <t>최샛별</t>
  </si>
  <si>
    <t>신형준</t>
  </si>
  <si>
    <t>윤정원이석우</t>
  </si>
  <si>
    <t>(주)더가든</t>
  </si>
  <si>
    <t>이채원</t>
  </si>
  <si>
    <t>침묵을 깨다</t>
  </si>
  <si>
    <t>고로고로 성수</t>
  </si>
  <si>
    <t>KT5861863506</t>
  </si>
  <si>
    <t>CU 대치세정점</t>
  </si>
  <si>
    <t>한인수</t>
  </si>
  <si>
    <t>토스979</t>
  </si>
  <si>
    <t>까브 테라스</t>
  </si>
  <si>
    <t>블러썸앤어나더</t>
  </si>
  <si>
    <t>03.22~06.20</t>
  </si>
  <si>
    <t>김민채</t>
  </si>
  <si>
    <t>카카오900</t>
  </si>
  <si>
    <t>카카오940</t>
  </si>
  <si>
    <t>김나혜</t>
  </si>
  <si>
    <t>카카오725</t>
  </si>
  <si>
    <t>윤석민</t>
  </si>
  <si>
    <t>(주) 아트박스 대치</t>
  </si>
  <si>
    <t>메가엠지씨커피 대치사거리점</t>
  </si>
  <si>
    <t>번개장터</t>
  </si>
  <si>
    <t>관세_은**</t>
  </si>
  <si>
    <t>김성윤</t>
  </si>
  <si>
    <t>FACEBK *5J4SFS8EH2     Dublin        IRL</t>
  </si>
  <si>
    <t>제우스 PC방 당산점</t>
  </si>
  <si>
    <t>최연진</t>
  </si>
  <si>
    <t>이윤선</t>
  </si>
  <si>
    <t>이예린</t>
  </si>
  <si>
    <t>GS25 신사초롱점</t>
  </si>
  <si>
    <t>학습교재</t>
  </si>
  <si>
    <t>황규비</t>
  </si>
  <si>
    <t>WWW.MAKE.COM           +12128470692  USA</t>
  </si>
  <si>
    <t>관리비</t>
  </si>
  <si>
    <t>관세(관세청 인천공항세관 징수관)</t>
  </si>
  <si>
    <t>쉐어잇 주식회사</t>
  </si>
  <si>
    <t>서연서</t>
  </si>
  <si>
    <t>새라울</t>
  </si>
  <si>
    <t>AliExpress Korea Limited</t>
  </si>
  <si>
    <t>삼성코인벤딩</t>
  </si>
  <si>
    <t>주식회사 지에스네트웍스(GS Networks Co., Ltd.)</t>
  </si>
  <si>
    <t>고은</t>
  </si>
  <si>
    <t>김윤하</t>
  </si>
  <si>
    <t>카페앤</t>
  </si>
  <si>
    <t>소준희</t>
  </si>
  <si>
    <t>FACEBK *LR37XSCEH2     Dublin        IRL</t>
  </si>
  <si>
    <t>신성연</t>
  </si>
  <si>
    <t>마구로동 우니도</t>
  </si>
  <si>
    <t>언타이틀</t>
  </si>
  <si>
    <t>김윤성</t>
  </si>
  <si>
    <t>05 월 지하철 22건</t>
  </si>
  <si>
    <t>05 월 버스 9건</t>
  </si>
  <si>
    <t>권유진</t>
  </si>
  <si>
    <t>정한결</t>
  </si>
  <si>
    <t>박초원</t>
  </si>
  <si>
    <t>CU강남삼성점</t>
  </si>
  <si>
    <t>박동윤</t>
  </si>
  <si>
    <t>김나연</t>
  </si>
  <si>
    <t>천지연</t>
  </si>
  <si>
    <t>이영후</t>
  </si>
  <si>
    <t>주해리</t>
  </si>
  <si>
    <t>아콘스톨</t>
  </si>
  <si>
    <t>김*국</t>
  </si>
  <si>
    <t>최준원</t>
  </si>
  <si>
    <t>홍혜민</t>
  </si>
  <si>
    <t>서지승</t>
  </si>
  <si>
    <t>CURSOR, AI POWERED IDE +18314259504  USA</t>
  </si>
  <si>
    <t>채수임(원예)</t>
  </si>
  <si>
    <t>윤성민</t>
  </si>
  <si>
    <t>씨유 원천휴먼시아점</t>
  </si>
  <si>
    <t>베스킨라빈스 수원영통역</t>
  </si>
  <si>
    <t>이은서</t>
  </si>
  <si>
    <t>강*진</t>
  </si>
  <si>
    <t>빽다방 대치사거리점</t>
  </si>
  <si>
    <t>강은찬강광진</t>
  </si>
  <si>
    <t>김주원</t>
  </si>
  <si>
    <t>정희상</t>
  </si>
  <si>
    <t>극강은마</t>
  </si>
  <si>
    <t>유*유</t>
  </si>
  <si>
    <t>윤성민영남고3</t>
  </si>
  <si>
    <t>정수현</t>
  </si>
  <si>
    <t>윤새봄</t>
  </si>
  <si>
    <t>민속주점</t>
  </si>
  <si>
    <t>차경</t>
  </si>
  <si>
    <t>박찬진분당대진고</t>
  </si>
  <si>
    <t>이래경</t>
  </si>
  <si>
    <t>홍경민</t>
  </si>
  <si>
    <t>윤성준</t>
  </si>
  <si>
    <t>엔제리너스 선릉골드</t>
  </si>
  <si>
    <t>김민우</t>
  </si>
  <si>
    <t>이승기</t>
  </si>
  <si>
    <t>윤정원(이석우맘)</t>
  </si>
  <si>
    <t>배손빈</t>
  </si>
  <si>
    <t>심보성</t>
  </si>
  <si>
    <t>허은희</t>
  </si>
  <si>
    <t>정주현</t>
  </si>
  <si>
    <t>신현지</t>
  </si>
  <si>
    <t>김대황</t>
  </si>
  <si>
    <t>손윤진</t>
  </si>
  <si>
    <t>박선우</t>
  </si>
  <si>
    <t>주식회사 우아한형제들</t>
  </si>
  <si>
    <t>KT5861863505</t>
  </si>
  <si>
    <t>아성다이소</t>
  </si>
  <si>
    <t>헤어샵</t>
  </si>
  <si>
    <t>비애드(B ADD)</t>
  </si>
  <si>
    <t>제이엠커피 신사라운</t>
  </si>
  <si>
    <t>전*후</t>
  </si>
  <si>
    <t>FACEBK *WV55HUGEH2     Dublin        IRL</t>
  </si>
  <si>
    <t>양*</t>
  </si>
  <si>
    <t>티머니택시(법인)_3</t>
  </si>
  <si>
    <t>손혜은</t>
  </si>
  <si>
    <t>맘스터치 대치사거리</t>
  </si>
  <si>
    <t>김영재</t>
  </si>
  <si>
    <t>조재홍</t>
  </si>
  <si>
    <t>가가77페이지</t>
  </si>
  <si>
    <t>안은서</t>
  </si>
  <si>
    <t>최법선</t>
  </si>
  <si>
    <t>OPENAI                 +14158799686  USA</t>
  </si>
  <si>
    <t>FACEBK *27JAPRQDH2     Dublin        IRL</t>
  </si>
  <si>
    <t>김권중</t>
  </si>
  <si>
    <t>고담후</t>
  </si>
  <si>
    <t>PHOTOGRAY</t>
  </si>
  <si>
    <t>모노맨션</t>
  </si>
  <si>
    <t>박채정</t>
  </si>
  <si>
    <t>(주)미래밴딩</t>
  </si>
  <si>
    <t>(주)공차코리아</t>
  </si>
  <si>
    <t>무인양품(주)파르나</t>
  </si>
  <si>
    <t>도윤하</t>
  </si>
  <si>
    <t>김수민</t>
  </si>
  <si>
    <t>자이온 커피하우스</t>
  </si>
  <si>
    <t>김민석</t>
  </si>
  <si>
    <t>진주완</t>
  </si>
  <si>
    <t>김은유</t>
  </si>
  <si>
    <t>김하은</t>
  </si>
  <si>
    <t>김지형</t>
  </si>
  <si>
    <t>세븐일레븐 신촌창천</t>
  </si>
  <si>
    <t>내가찜한닭</t>
  </si>
  <si>
    <t>박서연</t>
  </si>
  <si>
    <t>문호성</t>
  </si>
  <si>
    <t>김은채</t>
  </si>
  <si>
    <t>(주)더엘씨</t>
  </si>
  <si>
    <t>최현수</t>
  </si>
  <si>
    <t>나은지</t>
  </si>
  <si>
    <t>이다은</t>
  </si>
  <si>
    <t>송인혁</t>
  </si>
  <si>
    <t>장화평</t>
  </si>
  <si>
    <t>유지유</t>
  </si>
  <si>
    <t>윤소현</t>
  </si>
  <si>
    <t>지형명</t>
  </si>
  <si>
    <t>이민석</t>
  </si>
  <si>
    <t>하가영</t>
  </si>
  <si>
    <t>박경은김나혜</t>
  </si>
  <si>
    <t>전윤후</t>
  </si>
  <si>
    <t>최민국</t>
  </si>
  <si>
    <t>권두희</t>
  </si>
  <si>
    <t>변예린</t>
  </si>
  <si>
    <t>김가경</t>
  </si>
  <si>
    <t>CGV 신촌아트레</t>
  </si>
  <si>
    <t>치킨</t>
  </si>
  <si>
    <t>유닭스토리</t>
  </si>
  <si>
    <t>정재성</t>
  </si>
  <si>
    <t>황지영</t>
  </si>
  <si>
    <t>김유경</t>
  </si>
  <si>
    <t>04 월 버스 18건</t>
  </si>
  <si>
    <t>04 월 지하철 31건</t>
  </si>
  <si>
    <t>송미령</t>
  </si>
  <si>
    <t>신채연</t>
  </si>
  <si>
    <t>FACEBK *JY676P8EH2     Dublin        IRL</t>
  </si>
  <si>
    <t>딥솔 계약금</t>
  </si>
  <si>
    <t>유효리</t>
  </si>
  <si>
    <t>티머니 개인택시_0</t>
  </si>
  <si>
    <t>패스트캠퍼스</t>
  </si>
  <si>
    <t>소신이쏘</t>
  </si>
  <si>
    <t>발급수수료납부</t>
  </si>
  <si>
    <t>통장 개설</t>
  </si>
  <si>
    <t>맘스터치신촌점</t>
  </si>
  <si>
    <t>FACEBK *PPMSTP4EH2     Dublin        IRL</t>
  </si>
  <si>
    <t>CU대치현대점</t>
  </si>
  <si>
    <t>디턴학원</t>
  </si>
  <si>
    <t>안과</t>
  </si>
  <si>
    <t>한길</t>
  </si>
  <si>
    <t>코레일유통 주식회사(</t>
  </si>
  <si>
    <t>(주)에스지푸드 홍제</t>
  </si>
  <si>
    <t>KT5861863504</t>
  </si>
  <si>
    <t>손미숙</t>
  </si>
  <si>
    <t>카츠미신촌점</t>
  </si>
  <si>
    <t>운동</t>
  </si>
  <si>
    <t>(주)엠엔휘트니스대</t>
  </si>
  <si>
    <t>FACEBK *CA42CSGEH2     Dublin        IRL</t>
  </si>
  <si>
    <t>FACEBK *Y7EBNPUDH2     Dublin        IRL</t>
  </si>
  <si>
    <t>바나프레소 남부터미</t>
  </si>
  <si>
    <t>오화원</t>
  </si>
  <si>
    <t>CU역삼우인점</t>
  </si>
  <si>
    <t>(주)에이비카페(abcaf</t>
  </si>
  <si>
    <t>(주)이랜드월드 강남</t>
  </si>
  <si>
    <t>마유유 강남역점</t>
  </si>
  <si>
    <t>곽태영</t>
  </si>
  <si>
    <t>이태리부대찌개 강남</t>
  </si>
  <si>
    <t>씨유 역삼우인점</t>
  </si>
  <si>
    <t>Wix.Com, Inc. Wix.com  New York      USA</t>
  </si>
  <si>
    <t>FACEBK *CB2XPPQDH2     Dublin        IRL</t>
  </si>
  <si>
    <t>김태언소프트에듀케이</t>
  </si>
  <si>
    <t>씨유(CU) 범어 힐스</t>
  </si>
  <si>
    <t>유페이 개인택시_RF_0</t>
  </si>
  <si>
    <t>GS25 커넥트서울역점</t>
  </si>
  <si>
    <t>디턴학원교통비</t>
  </si>
  <si>
    <t>전웅비</t>
  </si>
  <si>
    <t>(1)by3 퍼스트바이쓰</t>
  </si>
  <si>
    <t>FACEBK *U56YPRGEH2     Dublin        IRL</t>
  </si>
  <si>
    <t>구스따레 일 젤라또</t>
  </si>
  <si>
    <t>앨리나인</t>
  </si>
  <si>
    <t>미크플로</t>
  </si>
  <si>
    <t>이정인</t>
  </si>
  <si>
    <t>쓰리팝피씨카페(3POP PC CAFE)</t>
  </si>
  <si>
    <t>(주)엠플레이그라운</t>
  </si>
  <si>
    <t>03 월 지하철 34건</t>
  </si>
  <si>
    <t>03 월 버스 26건</t>
  </si>
  <si>
    <t>2층써밋약국</t>
  </si>
  <si>
    <t>올딧세(ALLDSE)</t>
  </si>
  <si>
    <t>씨유 용산푸르지오써</t>
  </si>
  <si>
    <t>오민준</t>
  </si>
  <si>
    <t>정혜주</t>
  </si>
  <si>
    <t>문인성</t>
  </si>
  <si>
    <t>세븐틴코인노래연습</t>
  </si>
  <si>
    <t>(주)안주림</t>
  </si>
  <si>
    <t>강지윤</t>
  </si>
  <si>
    <t>김한수</t>
  </si>
  <si>
    <t>김승현</t>
  </si>
  <si>
    <t>정재훈</t>
  </si>
  <si>
    <t>주식회사 케이지모빌리언스</t>
  </si>
  <si>
    <t>사공승</t>
  </si>
  <si>
    <t>구글페이먼트코</t>
  </si>
  <si>
    <t>지에스25 신촌그린점</t>
  </si>
  <si>
    <t>FACEBK *RS9K7MLDH2     Dublin        IRL</t>
  </si>
  <si>
    <t>에머이서초 (주)케이</t>
  </si>
  <si>
    <t>딸부자네불백</t>
  </si>
  <si>
    <t>그로어스</t>
  </si>
  <si>
    <t>아이스크림</t>
  </si>
  <si>
    <t>피카플레이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</si>
</sst>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#,##0.00"/>
    <numFmt numFmtId="166" formatCode="yyyy-mm-dd"/>
    <numFmt numFmtId="164" formatCode="#,##0"/>
    <numFmt numFmtId="167" formatCode="#,##0.00 &quot;%&quot; "/>
    <numFmt numFmtId="166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164" fontId="2" fillId="7" borderId="21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0" fillId="0" borderId="23" xfId="0" applyNumberFormat="1" applyBorder="1"/>
    <xf numFmtId="165" fontId="0" fillId="0" borderId="23" xfId="0" applyNumberFormat="1" applyBorder="1"/>
    <xf numFmtId="166" fontId="0" fillId="0" borderId="7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1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1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22</v>
      </c>
      <c r="E6" s="5">
        <v>858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491</v>
      </c>
      <c r="F12" s="10">
        <v>959501</v>
      </c>
      <c r="G12" s="10">
        <v>8820</v>
      </c>
      <c r="H12" s="10">
        <v>5794</v>
      </c>
      <c r="I12" s="10">
        <v>203303</v>
      </c>
      <c r="J12" s="10">
        <v>233513</v>
      </c>
      <c r="K12" s="10">
        <v>1153997</v>
      </c>
      <c r="L12" s="10">
        <v>304718</v>
      </c>
      <c r="M12" s="10">
        <v>403782</v>
      </c>
      <c r="N12" s="10">
        <v>254233</v>
      </c>
      <c r="O12" s="10">
        <v>7844</v>
      </c>
      <c r="P12" s="10">
        <v>8245</v>
      </c>
      <c r="Q12" s="10">
        <v>351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800000</v>
      </c>
      <c r="F13" s="10">
        <v>0</v>
      </c>
      <c r="G13" s="10">
        <v>50000</v>
      </c>
      <c r="H13" s="10">
        <v>0</v>
      </c>
      <c r="I13" s="10">
        <v>229270</v>
      </c>
      <c r="J13" s="10">
        <v>0</v>
      </c>
      <c r="K13" s="10">
        <v>0</v>
      </c>
      <c r="L13" s="10">
        <v>1000000</v>
      </c>
      <c r="M13" s="10">
        <v>1599000</v>
      </c>
      <c r="N13" s="10">
        <v>0</v>
      </c>
      <c r="O13" s="10">
        <v>1000000</v>
      </c>
      <c r="P13" s="10">
        <v>300000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0</v>
      </c>
      <c r="I14" s="10">
        <v>27000</v>
      </c>
      <c r="J14" s="10">
        <v>1</v>
      </c>
      <c r="K14" s="10">
        <v>1</v>
      </c>
      <c r="L14" s="10">
        <v>0</v>
      </c>
      <c r="M14" s="10">
        <v>0</v>
      </c>
      <c r="N14" s="10">
        <v>0</v>
      </c>
      <c r="O14" s="10">
        <v>2</v>
      </c>
      <c r="P14" s="10">
        <v>2</v>
      </c>
      <c r="Q14" s="10">
        <v>3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15000</v>
      </c>
      <c r="F15" s="10">
        <v>39000</v>
      </c>
      <c r="G15" s="10">
        <v>549000</v>
      </c>
      <c r="H15" s="10">
        <v>74010</v>
      </c>
      <c r="I15" s="10">
        <v>12000</v>
      </c>
      <c r="J15" s="10">
        <v>12002</v>
      </c>
      <c r="K15" s="10">
        <v>9000</v>
      </c>
      <c r="L15" s="10">
        <v>9001</v>
      </c>
      <c r="M15" s="10">
        <v>18001</v>
      </c>
      <c r="N15" s="10">
        <v>3000</v>
      </c>
      <c r="O15" s="10">
        <v>15000</v>
      </c>
      <c r="P15" s="10">
        <v>0</v>
      </c>
      <c r="Q15" s="10">
        <v>6000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35</v>
      </c>
    </row>
    <row r="17" spans="2:17">
      <c r="B17" s="11" t="s">
        <v>33</v>
      </c>
      <c r="C17" s="12">
        <f>SUM(E17:Q17)</f>
        <v>0</v>
      </c>
      <c r="D17" s="12">
        <f>C17/13</f>
        <v>0</v>
      </c>
      <c r="E17" s="12">
        <f>SUM(E12:E16)</f>
        <v>0</v>
      </c>
      <c r="F17" s="12">
        <f>SUM(F12:F16)</f>
        <v>0</v>
      </c>
      <c r="G17" s="12">
        <f>SUM(G12:G16)</f>
        <v>0</v>
      </c>
      <c r="H17" s="12">
        <f>SUM(H12:H16)</f>
        <v>0</v>
      </c>
      <c r="I17" s="12">
        <f>SUM(I12:I16)</f>
        <v>0</v>
      </c>
      <c r="J17" s="12">
        <f>SUM(J12:J16)</f>
        <v>0</v>
      </c>
      <c r="K17" s="12">
        <f>SUM(K12:K16)</f>
        <v>0</v>
      </c>
      <c r="L17" s="12">
        <f>SUM(L12:L16)</f>
        <v>0</v>
      </c>
      <c r="M17" s="12">
        <f>SUM(M12:M16)</f>
        <v>0</v>
      </c>
      <c r="N17" s="12">
        <f>SUM(N12:N16)</f>
        <v>0</v>
      </c>
      <c r="O17" s="12">
        <f>SUM(O12:O16)</f>
        <v>0</v>
      </c>
      <c r="P17" s="12">
        <f>SUM(P12:P16)</f>
        <v>0</v>
      </c>
      <c r="Q17" s="12">
        <f>SUM(Q12:Q16)</f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0</v>
      </c>
      <c r="G18" s="10">
        <v>125000</v>
      </c>
      <c r="H18" s="10">
        <v>100000</v>
      </c>
      <c r="I18" s="10">
        <v>105259</v>
      </c>
      <c r="J18" s="10">
        <v>109890</v>
      </c>
      <c r="K18" s="10">
        <v>109890</v>
      </c>
      <c r="L18" s="10">
        <v>109890</v>
      </c>
      <c r="M18" s="10">
        <v>94890</v>
      </c>
      <c r="N18" s="10">
        <v>109890</v>
      </c>
      <c r="O18" s="10">
        <v>109890</v>
      </c>
      <c r="P18" s="10">
        <v>109890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35222</v>
      </c>
      <c r="F19" s="10">
        <v>201290</v>
      </c>
      <c r="G19" s="10">
        <v>271896</v>
      </c>
      <c r="H19" s="10">
        <v>242829</v>
      </c>
      <c r="I19" s="10">
        <v>107526</v>
      </c>
      <c r="J19" s="10">
        <v>233777</v>
      </c>
      <c r="K19" s="10">
        <v>73330</v>
      </c>
      <c r="L19" s="10">
        <v>313354</v>
      </c>
      <c r="M19" s="10">
        <v>128700</v>
      </c>
      <c r="N19" s="10">
        <v>152740</v>
      </c>
      <c r="O19" s="10">
        <v>160096</v>
      </c>
      <c r="P19" s="10">
        <v>56025</v>
      </c>
      <c r="Q19" s="10">
        <v>49919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5500</v>
      </c>
      <c r="F20" s="10">
        <v>4400</v>
      </c>
      <c r="G20" s="10">
        <v>3827433</v>
      </c>
      <c r="H20" s="10">
        <v>271625</v>
      </c>
      <c r="I20" s="10">
        <v>8216712</v>
      </c>
      <c r="J20" s="10">
        <v>7344800</v>
      </c>
      <c r="K20" s="10">
        <v>3544500</v>
      </c>
      <c r="L20" s="10">
        <v>17333</v>
      </c>
      <c r="M20" s="10">
        <v>23800</v>
      </c>
      <c r="N20" s="10">
        <v>105433</v>
      </c>
      <c r="O20" s="10">
        <v>211890</v>
      </c>
      <c r="P20" s="10">
        <v>3267227</v>
      </c>
      <c r="Q20" s="10">
        <v>1306813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129942</v>
      </c>
      <c r="F21" s="10">
        <v>150115</v>
      </c>
      <c r="G21" s="10">
        <v>249452</v>
      </c>
      <c r="H21" s="10">
        <v>481877</v>
      </c>
      <c r="I21" s="10">
        <v>325237</v>
      </c>
      <c r="J21" s="10">
        <v>224729</v>
      </c>
      <c r="K21" s="10">
        <v>31000</v>
      </c>
      <c r="L21" s="10">
        <v>169100</v>
      </c>
      <c r="M21" s="10">
        <v>79000</v>
      </c>
      <c r="N21" s="10">
        <v>49095</v>
      </c>
      <c r="O21" s="10">
        <v>125100</v>
      </c>
      <c r="P21" s="10">
        <v>176138</v>
      </c>
      <c r="Q21" s="10">
        <v>6716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6000</v>
      </c>
      <c r="P22" s="10">
        <v>0</v>
      </c>
      <c r="Q22" s="10">
        <v>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14900</v>
      </c>
      <c r="G23" s="10">
        <v>109600</v>
      </c>
      <c r="H23" s="10">
        <v>0</v>
      </c>
      <c r="I23" s="10">
        <v>33600</v>
      </c>
      <c r="J23" s="10">
        <v>58400</v>
      </c>
      <c r="K23" s="10">
        <v>0</v>
      </c>
      <c r="L23" s="10">
        <v>0</v>
      </c>
      <c r="M23" s="10">
        <v>13310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24600</v>
      </c>
      <c r="F24" s="10">
        <v>184764</v>
      </c>
      <c r="G24" s="10">
        <v>283550</v>
      </c>
      <c r="H24" s="10">
        <v>1353300</v>
      </c>
      <c r="I24" s="10">
        <v>61200</v>
      </c>
      <c r="J24" s="10">
        <v>87450</v>
      </c>
      <c r="K24" s="10">
        <v>103600</v>
      </c>
      <c r="L24" s="10">
        <v>189400</v>
      </c>
      <c r="M24" s="10">
        <v>115590</v>
      </c>
      <c r="N24" s="10">
        <v>96386</v>
      </c>
      <c r="O24" s="10">
        <v>207470</v>
      </c>
      <c r="P24" s="10">
        <v>8800</v>
      </c>
      <c r="Q24" s="10">
        <v>57969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103000</v>
      </c>
      <c r="G25" s="10">
        <v>91000</v>
      </c>
      <c r="H25" s="10">
        <v>29000</v>
      </c>
      <c r="I25" s="10">
        <v>52000</v>
      </c>
      <c r="J25" s="10">
        <v>68000</v>
      </c>
      <c r="K25" s="10">
        <v>0</v>
      </c>
      <c r="L25" s="10">
        <v>38300</v>
      </c>
      <c r="M25" s="10">
        <v>225900</v>
      </c>
      <c r="N25" s="10">
        <v>0</v>
      </c>
      <c r="O25" s="10">
        <v>592500</v>
      </c>
      <c r="P25" s="10">
        <v>37600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119800</v>
      </c>
      <c r="F26" s="10">
        <v>289650</v>
      </c>
      <c r="G26" s="10">
        <v>239340</v>
      </c>
      <c r="H26" s="10">
        <v>371675</v>
      </c>
      <c r="I26" s="10">
        <v>322530</v>
      </c>
      <c r="J26" s="10">
        <v>520125</v>
      </c>
      <c r="K26" s="10">
        <v>832780</v>
      </c>
      <c r="L26" s="10">
        <v>553400</v>
      </c>
      <c r="M26" s="10">
        <v>651400</v>
      </c>
      <c r="N26" s="10">
        <v>1017950</v>
      </c>
      <c r="O26" s="10">
        <v>449040</v>
      </c>
      <c r="P26" s="10">
        <v>615441</v>
      </c>
      <c r="Q26" s="10">
        <v>237688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0</v>
      </c>
      <c r="F27" s="10">
        <v>32990</v>
      </c>
      <c r="G27" s="10">
        <v>32990</v>
      </c>
      <c r="H27" s="10">
        <v>32990</v>
      </c>
      <c r="I27" s="10">
        <v>36990</v>
      </c>
      <c r="J27" s="10">
        <v>297490</v>
      </c>
      <c r="K27" s="10">
        <v>32990</v>
      </c>
      <c r="L27" s="10">
        <v>52990</v>
      </c>
      <c r="M27" s="10">
        <v>0</v>
      </c>
      <c r="N27" s="10">
        <v>0</v>
      </c>
      <c r="O27" s="10">
        <v>375000</v>
      </c>
      <c r="P27" s="10">
        <v>0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39000</v>
      </c>
      <c r="F28" s="10">
        <v>884759</v>
      </c>
      <c r="G28" s="10">
        <v>760200</v>
      </c>
      <c r="H28" s="10">
        <v>821391</v>
      </c>
      <c r="I28" s="10">
        <v>293709</v>
      </c>
      <c r="J28" s="10">
        <v>10608020</v>
      </c>
      <c r="K28" s="10">
        <v>172824</v>
      </c>
      <c r="L28" s="10">
        <v>266196</v>
      </c>
      <c r="M28" s="10">
        <v>3523974</v>
      </c>
      <c r="N28" s="10">
        <v>1097539</v>
      </c>
      <c r="O28" s="10">
        <v>339791</v>
      </c>
      <c r="P28" s="10">
        <v>14354077</v>
      </c>
      <c r="Q28" s="10">
        <v>916400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0</v>
      </c>
      <c r="F29" s="10">
        <v>216000</v>
      </c>
      <c r="G29" s="10">
        <v>0</v>
      </c>
      <c r="H29" s="10">
        <v>0</v>
      </c>
      <c r="I29" s="10">
        <v>267000</v>
      </c>
      <c r="J29" s="10">
        <v>9400</v>
      </c>
      <c r="K29" s="10">
        <v>0</v>
      </c>
      <c r="L29" s="10">
        <v>0</v>
      </c>
      <c r="M29" s="10">
        <v>117400</v>
      </c>
      <c r="N29" s="10">
        <v>271500</v>
      </c>
      <c r="O29" s="10">
        <v>428400</v>
      </c>
      <c r="P29" s="10">
        <v>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3200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0</v>
      </c>
      <c r="G31" s="10">
        <v>5802000</v>
      </c>
      <c r="H31" s="10">
        <v>49120</v>
      </c>
      <c r="I31" s="10">
        <v>0</v>
      </c>
      <c r="J31" s="10">
        <v>13675</v>
      </c>
      <c r="K31" s="10">
        <v>8800</v>
      </c>
      <c r="L31" s="10">
        <v>0</v>
      </c>
      <c r="M31" s="10">
        <v>47468</v>
      </c>
      <c r="N31" s="10">
        <v>47565</v>
      </c>
      <c r="O31" s="10">
        <v>184925</v>
      </c>
      <c r="P31" s="10">
        <v>32990</v>
      </c>
      <c r="Q31" s="10">
        <v>0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2800</v>
      </c>
      <c r="F32" s="10">
        <v>95100</v>
      </c>
      <c r="G32" s="10">
        <v>91300</v>
      </c>
      <c r="H32" s="10">
        <v>53310</v>
      </c>
      <c r="I32" s="10">
        <v>188200</v>
      </c>
      <c r="J32" s="10">
        <v>133100</v>
      </c>
      <c r="K32" s="10">
        <v>2000</v>
      </c>
      <c r="L32" s="10">
        <v>74600</v>
      </c>
      <c r="M32" s="10">
        <v>277690</v>
      </c>
      <c r="N32" s="10">
        <v>68970</v>
      </c>
      <c r="O32" s="10">
        <v>183490</v>
      </c>
      <c r="P32" s="10">
        <v>192920</v>
      </c>
      <c r="Q32" s="10">
        <v>71000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0</v>
      </c>
      <c r="F33" s="10">
        <v>73162</v>
      </c>
      <c r="G33" s="10">
        <v>303248</v>
      </c>
      <c r="H33" s="10">
        <v>10000</v>
      </c>
      <c r="I33" s="10">
        <v>0</v>
      </c>
      <c r="J33" s="10">
        <v>264914</v>
      </c>
      <c r="K33" s="10">
        <v>796855</v>
      </c>
      <c r="L33" s="10">
        <v>50540</v>
      </c>
      <c r="M33" s="10">
        <v>1039698</v>
      </c>
      <c r="N33" s="10">
        <v>155500</v>
      </c>
      <c r="O33" s="10">
        <v>32800</v>
      </c>
      <c r="P33" s="10">
        <v>71500</v>
      </c>
      <c r="Q33" s="10">
        <v>0</v>
      </c>
    </row>
    <row r="34" spans="2:17">
      <c r="B34" s="11" t="s">
        <v>50</v>
      </c>
      <c r="C34" s="12">
        <f>SUM(E34:Q34)</f>
        <v>0</v>
      </c>
      <c r="D34" s="12">
        <f>C34/13</f>
        <v>0</v>
      </c>
      <c r="E34" s="12">
        <f>SUM(E18:E33)</f>
        <v>0</v>
      </c>
      <c r="F34" s="12">
        <f>SUM(F18:F33)</f>
        <v>0</v>
      </c>
      <c r="G34" s="12">
        <f>SUM(G18:G33)</f>
        <v>0</v>
      </c>
      <c r="H34" s="12">
        <f>SUM(H18:H33)</f>
        <v>0</v>
      </c>
      <c r="I34" s="12">
        <f>SUM(I18:I33)</f>
        <v>0</v>
      </c>
      <c r="J34" s="12">
        <f>SUM(J18:J33)</f>
        <v>0</v>
      </c>
      <c r="K34" s="12">
        <f>SUM(K18:K33)</f>
        <v>0</v>
      </c>
      <c r="L34" s="12">
        <f>SUM(L18:L33)</f>
        <v>0</v>
      </c>
      <c r="M34" s="12">
        <f>SUM(M18:M33)</f>
        <v>0</v>
      </c>
      <c r="N34" s="12">
        <f>SUM(N18:N33)</f>
        <v>0</v>
      </c>
      <c r="O34" s="12">
        <f>SUM(O18:O33)</f>
        <v>0</v>
      </c>
      <c r="P34" s="12">
        <f>SUM(P18:P33)</f>
        <v>0</v>
      </c>
      <c r="Q34" s="12">
        <f>SUM(Q18:Q33)</f>
        <v>0</v>
      </c>
    </row>
    <row r="35" spans="2:17">
      <c r="B35" s="13" t="s">
        <v>51</v>
      </c>
      <c r="C35" s="14">
        <f>SUM(E35:Q35)</f>
        <v>0</v>
      </c>
      <c r="D35" s="14">
        <f>C35/13</f>
        <v>0</v>
      </c>
      <c r="E35" s="14">
        <f>E17-E34</f>
        <v>0</v>
      </c>
      <c r="F35" s="14">
        <f>F17-F34</f>
        <v>0</v>
      </c>
      <c r="G35" s="14">
        <f>G17-G34</f>
        <v>0</v>
      </c>
      <c r="H35" s="14">
        <f>H17-H34</f>
        <v>0</v>
      </c>
      <c r="I35" s="14">
        <f>I17-I34</f>
        <v>0</v>
      </c>
      <c r="J35" s="14">
        <f>J17-J34</f>
        <v>0</v>
      </c>
      <c r="K35" s="14">
        <f>K17-K34</f>
        <v>0</v>
      </c>
      <c r="L35" s="14">
        <f>L17-L34</f>
        <v>0</v>
      </c>
      <c r="M35" s="14">
        <f>M17-M34</f>
        <v>0</v>
      </c>
      <c r="N35" s="14">
        <f>N17-N34</f>
        <v>0</v>
      </c>
      <c r="O35" s="14">
        <f>O17-O34</f>
        <v>0</v>
      </c>
      <c r="P35" s="14">
        <f>P17-P34</f>
        <v>0</v>
      </c>
      <c r="Q35" s="14">
        <f>Q17-Q34</f>
        <v>0</v>
      </c>
    </row>
    <row r="38" spans="2:17">
      <c r="B38" s="1" t="s">
        <v>52</v>
      </c>
    </row>
    <row r="39" spans="2:17">
      <c r="B39" t="s">
        <v>53</v>
      </c>
    </row>
    <row r="40" spans="2:17">
      <c r="B40" s="15" t="s">
        <v>54</v>
      </c>
      <c r="C40" s="15"/>
      <c r="D40" s="15"/>
      <c r="E40" s="15"/>
      <c r="F40" s="16" t="s">
        <v>55</v>
      </c>
      <c r="G40" s="16"/>
      <c r="H40" s="16"/>
      <c r="I40" s="16"/>
    </row>
    <row r="41" spans="2:17">
      <c r="B41" s="17" t="s">
        <v>12</v>
      </c>
      <c r="C41" s="18" t="s">
        <v>56</v>
      </c>
      <c r="D41" s="18"/>
      <c r="E41" s="18" t="s">
        <v>57</v>
      </c>
      <c r="F41" s="18" t="s">
        <v>12</v>
      </c>
      <c r="G41" s="18" t="s">
        <v>56</v>
      </c>
      <c r="H41" s="18"/>
      <c r="I41" s="18" t="s">
        <v>57</v>
      </c>
    </row>
    <row r="42" spans="2:17">
      <c r="B42" s="19" t="s">
        <v>58</v>
      </c>
      <c r="C42" s="20" t="s">
        <v>59</v>
      </c>
      <c r="D42" s="20"/>
      <c r="E42" s="21">
        <v>2</v>
      </c>
      <c r="F42" s="22" t="s">
        <v>97</v>
      </c>
      <c r="G42" s="20"/>
      <c r="H42" s="20"/>
      <c r="I42" s="23"/>
    </row>
    <row r="43" spans="2:17">
      <c r="B43" s="19"/>
      <c r="C43" s="20" t="s">
        <v>60</v>
      </c>
      <c r="D43" s="20"/>
      <c r="E43" s="21">
        <v>4373</v>
      </c>
      <c r="F43" s="20"/>
      <c r="G43" s="20"/>
      <c r="H43" s="20"/>
      <c r="I43" s="24"/>
    </row>
    <row r="44" spans="2:17">
      <c r="B44" s="19"/>
      <c r="C44" s="20" t="s">
        <v>61</v>
      </c>
      <c r="D44" s="20"/>
      <c r="E44" s="21">
        <v>0</v>
      </c>
      <c r="F44" s="20"/>
      <c r="G44" s="20"/>
      <c r="H44" s="20"/>
      <c r="I44" s="24"/>
    </row>
    <row r="45" spans="2:17">
      <c r="B45" s="19"/>
      <c r="C45" s="20" t="s">
        <v>62</v>
      </c>
      <c r="D45" s="20"/>
      <c r="E45" s="21">
        <v>0</v>
      </c>
      <c r="F45" s="20"/>
      <c r="G45" s="20"/>
      <c r="H45" s="20"/>
      <c r="I45" s="24"/>
    </row>
    <row r="46" spans="2:17">
      <c r="B46" s="19"/>
      <c r="C46" s="20" t="s">
        <v>63</v>
      </c>
      <c r="D46" s="20"/>
      <c r="E46" s="21">
        <v>18</v>
      </c>
      <c r="F46" s="20"/>
      <c r="G46" s="20"/>
      <c r="H46" s="20"/>
      <c r="I46" s="24"/>
    </row>
    <row r="47" spans="2:17">
      <c r="B47" s="19"/>
      <c r="C47" s="20" t="s">
        <v>64</v>
      </c>
      <c r="D47" s="20"/>
      <c r="E47" s="21">
        <v>4180548</v>
      </c>
      <c r="F47" s="20"/>
      <c r="G47" s="20"/>
      <c r="H47" s="20"/>
      <c r="I47" s="24"/>
    </row>
    <row r="48" spans="2:17">
      <c r="B48" s="19"/>
      <c r="C48" s="20" t="s">
        <v>65</v>
      </c>
      <c r="D48" s="20"/>
      <c r="E48" s="21">
        <v>8038</v>
      </c>
      <c r="F48" s="20"/>
      <c r="G48" s="20"/>
      <c r="H48" s="20"/>
      <c r="I48" s="24"/>
    </row>
    <row r="49" spans="2:9">
      <c r="B49" s="19"/>
      <c r="C49" s="20" t="s">
        <v>66</v>
      </c>
      <c r="D49" s="20"/>
      <c r="E49" s="21">
        <v>7972</v>
      </c>
      <c r="F49" s="20"/>
      <c r="G49" s="20"/>
      <c r="H49" s="20"/>
      <c r="I49" s="24"/>
    </row>
    <row r="50" spans="2:9">
      <c r="B50" s="19"/>
      <c r="C50" s="20" t="s">
        <v>67</v>
      </c>
      <c r="D50" s="20"/>
      <c r="E50" s="21">
        <v>25370523</v>
      </c>
      <c r="F50" s="20"/>
      <c r="G50" s="20"/>
      <c r="H50" s="20"/>
      <c r="I50" s="24"/>
    </row>
    <row r="51" spans="2:9">
      <c r="B51" s="19" t="s">
        <v>68</v>
      </c>
      <c r="C51" s="20"/>
      <c r="D51" s="20"/>
      <c r="E51" s="21"/>
      <c r="F51" s="20"/>
      <c r="G51" s="20"/>
      <c r="H51" s="20"/>
      <c r="I51" s="24"/>
    </row>
    <row r="52" spans="2:9">
      <c r="B52" s="19" t="s">
        <v>69</v>
      </c>
      <c r="C52" s="20" t="s">
        <v>70</v>
      </c>
      <c r="D52" s="20"/>
      <c r="E52" s="21">
        <v>0</v>
      </c>
      <c r="F52" s="20"/>
      <c r="G52" s="20"/>
      <c r="H52" s="20"/>
      <c r="I52" s="24"/>
    </row>
    <row r="53" spans="2:9">
      <c r="B53" s="19" t="s">
        <v>71</v>
      </c>
      <c r="C53" s="20" t="s">
        <v>72</v>
      </c>
      <c r="D53" s="20"/>
      <c r="E53" s="21">
        <v>5178150</v>
      </c>
      <c r="F53" s="20"/>
      <c r="G53" s="20"/>
      <c r="H53" s="20"/>
      <c r="I53" s="24"/>
    </row>
    <row r="54" spans="2:9">
      <c r="B54" s="19" t="s">
        <v>73</v>
      </c>
      <c r="C54" s="20" t="s">
        <v>74</v>
      </c>
      <c r="D54" s="20"/>
      <c r="E54" s="21">
        <v>0</v>
      </c>
      <c r="F54" s="20"/>
      <c r="G54" s="20"/>
      <c r="H54" s="20"/>
      <c r="I54" s="24"/>
    </row>
    <row r="55" spans="2:9">
      <c r="B55" s="19"/>
      <c r="C55" s="20" t="s">
        <v>75</v>
      </c>
      <c r="D55" s="20"/>
      <c r="E55" s="21">
        <v>0</v>
      </c>
      <c r="F55" s="20"/>
      <c r="G55" s="20"/>
      <c r="H55" s="20"/>
      <c r="I55" s="24"/>
    </row>
    <row r="56" spans="2:9">
      <c r="B56" s="19" t="s">
        <v>76</v>
      </c>
      <c r="C56" s="20" t="s">
        <v>77</v>
      </c>
      <c r="D56" s="20"/>
      <c r="E56" s="21">
        <v>42458665</v>
      </c>
      <c r="F56" s="20"/>
      <c r="G56" s="20"/>
      <c r="H56" s="20"/>
      <c r="I56" s="24"/>
    </row>
    <row r="57" spans="2:9">
      <c r="B57" s="19"/>
      <c r="C57" s="20" t="s">
        <v>78</v>
      </c>
      <c r="D57" s="20"/>
      <c r="E57" s="21">
        <v>11539232.9766</v>
      </c>
      <c r="F57" s="20"/>
      <c r="G57" s="20"/>
      <c r="H57" s="20"/>
      <c r="I57" s="24"/>
    </row>
    <row r="58" spans="2:9">
      <c r="B58" s="19"/>
      <c r="C58" s="20" t="s">
        <v>79</v>
      </c>
      <c r="D58" s="20"/>
      <c r="E58" s="21">
        <v>70273493.535</v>
      </c>
      <c r="F58" s="20"/>
      <c r="G58" s="20"/>
      <c r="H58" s="20"/>
      <c r="I58" s="24"/>
    </row>
    <row r="59" spans="2:9">
      <c r="B59" s="19"/>
      <c r="C59" s="20" t="s">
        <v>80</v>
      </c>
      <c r="D59" s="20"/>
      <c r="E59" s="21">
        <v>5232520</v>
      </c>
      <c r="F59" s="20"/>
      <c r="G59" s="20"/>
      <c r="H59" s="20"/>
      <c r="I59" s="24"/>
    </row>
    <row r="60" spans="2:9">
      <c r="B60" s="19"/>
      <c r="C60" s="20" t="s">
        <v>81</v>
      </c>
      <c r="D60" s="20"/>
      <c r="E60" s="21">
        <v>28235731.7844</v>
      </c>
      <c r="F60" s="20"/>
      <c r="G60" s="20"/>
      <c r="H60" s="20"/>
      <c r="I60" s="24"/>
    </row>
    <row r="61" spans="2:9">
      <c r="B61" s="19"/>
      <c r="C61" s="20" t="s">
        <v>82</v>
      </c>
      <c r="D61" s="20"/>
      <c r="E61" s="21">
        <v>190089.7887</v>
      </c>
      <c r="F61" s="20"/>
      <c r="G61" s="20"/>
      <c r="H61" s="20"/>
      <c r="I61" s="24"/>
    </row>
    <row r="62" spans="2:9">
      <c r="B62" s="19"/>
      <c r="C62" s="20" t="s">
        <v>83</v>
      </c>
      <c r="D62" s="20"/>
      <c r="E62" s="21">
        <v>656000</v>
      </c>
      <c r="F62" s="20"/>
      <c r="G62" s="20"/>
      <c r="H62" s="20"/>
      <c r="I62" s="24"/>
    </row>
    <row r="63" spans="2:9">
      <c r="B63" s="19"/>
      <c r="C63" s="20" t="s">
        <v>84</v>
      </c>
      <c r="D63" s="20"/>
      <c r="E63" s="21">
        <v>24355</v>
      </c>
      <c r="F63" s="20"/>
      <c r="G63" s="20"/>
      <c r="H63" s="20"/>
      <c r="I63" s="24"/>
    </row>
    <row r="64" spans="2:9">
      <c r="B64" s="19"/>
      <c r="C64" s="20" t="s">
        <v>85</v>
      </c>
      <c r="D64" s="20"/>
      <c r="E64" s="21">
        <v>0</v>
      </c>
      <c r="F64" s="20"/>
      <c r="G64" s="20"/>
      <c r="H64" s="20"/>
      <c r="I64" s="24"/>
    </row>
    <row r="65" spans="2:9">
      <c r="B65" s="19"/>
      <c r="C65" s="20" t="s">
        <v>86</v>
      </c>
      <c r="D65" s="20"/>
      <c r="E65" s="21">
        <v>276754</v>
      </c>
      <c r="F65" s="20"/>
      <c r="G65" s="20"/>
      <c r="H65" s="20"/>
      <c r="I65" s="24"/>
    </row>
    <row r="66" spans="2:9">
      <c r="B66" s="19"/>
      <c r="C66" s="20" t="s">
        <v>86</v>
      </c>
      <c r="D66" s="20"/>
      <c r="E66" s="21">
        <v>918</v>
      </c>
      <c r="F66" s="20"/>
      <c r="G66" s="20"/>
      <c r="H66" s="20"/>
      <c r="I66" s="24"/>
    </row>
    <row r="67" spans="2:9">
      <c r="B67" s="19"/>
      <c r="C67" s="20" t="s">
        <v>87</v>
      </c>
      <c r="D67" s="20"/>
      <c r="E67" s="21">
        <v>30.1658</v>
      </c>
      <c r="F67" s="20"/>
      <c r="G67" s="20"/>
      <c r="H67" s="20"/>
      <c r="I67" s="24"/>
    </row>
    <row r="68" spans="2:9">
      <c r="B68" s="19"/>
      <c r="C68" s="20" t="s">
        <v>88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88</v>
      </c>
      <c r="D69" s="20"/>
      <c r="E69" s="21">
        <v>0</v>
      </c>
      <c r="F69" s="20"/>
      <c r="G69" s="20"/>
      <c r="H69" s="20"/>
      <c r="I69" s="24"/>
    </row>
    <row r="70" spans="2:9">
      <c r="B70" s="19"/>
      <c r="C70" s="20" t="s">
        <v>89</v>
      </c>
      <c r="D70" s="20"/>
      <c r="E70" s="21">
        <v>0</v>
      </c>
      <c r="F70" s="20"/>
      <c r="G70" s="20"/>
      <c r="H70" s="20"/>
      <c r="I70" s="24"/>
    </row>
    <row r="71" spans="2:9">
      <c r="B71" s="19"/>
      <c r="C71" s="20" t="s">
        <v>90</v>
      </c>
      <c r="D71" s="20"/>
      <c r="E71" s="21">
        <v>17307</v>
      </c>
      <c r="F71" s="20"/>
      <c r="G71" s="20"/>
      <c r="H71" s="20"/>
      <c r="I71" s="24"/>
    </row>
    <row r="72" spans="2:9">
      <c r="B72" s="19"/>
      <c r="C72" s="20" t="s">
        <v>91</v>
      </c>
      <c r="D72" s="20"/>
      <c r="E72" s="21">
        <v>0</v>
      </c>
      <c r="F72" s="20"/>
      <c r="G72" s="20"/>
      <c r="H72" s="20"/>
      <c r="I72" s="24"/>
    </row>
    <row r="73" spans="2:9">
      <c r="B73" s="19"/>
      <c r="C73" s="20" t="s">
        <v>91</v>
      </c>
      <c r="D73" s="20"/>
      <c r="E73" s="21">
        <v>0</v>
      </c>
      <c r="F73" s="20"/>
      <c r="G73" s="20"/>
      <c r="H73" s="20"/>
      <c r="I73" s="24"/>
    </row>
    <row r="74" spans="2:9">
      <c r="B74" s="19" t="s">
        <v>92</v>
      </c>
      <c r="C74" s="20"/>
      <c r="D74" s="20"/>
      <c r="E74" s="21"/>
      <c r="F74" s="20"/>
      <c r="G74" s="20"/>
      <c r="H74" s="20"/>
      <c r="I74" s="24"/>
    </row>
    <row r="75" spans="2:9">
      <c r="B75" s="19" t="s">
        <v>93</v>
      </c>
      <c r="C75" s="20"/>
      <c r="D75" s="20"/>
      <c r="E75" s="21"/>
      <c r="F75" s="20"/>
      <c r="G75" s="20"/>
      <c r="H75" s="20"/>
      <c r="I75" s="24"/>
    </row>
    <row r="76" spans="2:9">
      <c r="B76" s="19" t="s">
        <v>94</v>
      </c>
      <c r="C76" s="20"/>
      <c r="D76" s="20"/>
      <c r="E76" s="21"/>
      <c r="F76" s="20"/>
      <c r="G76" s="20"/>
      <c r="H76" s="20"/>
      <c r="I76" s="24"/>
    </row>
    <row r="77" spans="2:9">
      <c r="B77" s="19" t="s">
        <v>95</v>
      </c>
      <c r="C77" s="20"/>
      <c r="D77" s="20"/>
      <c r="E77" s="21"/>
      <c r="F77" s="20"/>
      <c r="G77" s="20"/>
      <c r="H77" s="20"/>
      <c r="I77" s="24"/>
    </row>
    <row r="78" spans="2:9">
      <c r="B78" s="19" t="s">
        <v>96</v>
      </c>
      <c r="C78" s="20"/>
      <c r="D78" s="20"/>
      <c r="E78" s="21"/>
      <c r="F78" s="20"/>
      <c r="G78" s="20"/>
      <c r="H78" s="20"/>
      <c r="I78" s="24"/>
    </row>
    <row r="79" spans="2:9">
      <c r="B79" s="25" t="s">
        <v>98</v>
      </c>
      <c r="C79" s="25"/>
      <c r="D79" s="25"/>
      <c r="E79" s="26">
        <f>SUM(E42:E78)</f>
        <v>0</v>
      </c>
      <c r="F79" s="27" t="s">
        <v>99</v>
      </c>
      <c r="G79" s="27"/>
      <c r="H79" s="27"/>
      <c r="I79" s="28">
        <f>SUM(I42:I78)</f>
        <v>0</v>
      </c>
    </row>
    <row r="80" spans="2:9">
      <c r="B80" s="29" t="s">
        <v>100</v>
      </c>
      <c r="C80" s="29"/>
      <c r="D80" s="29"/>
      <c r="E80" s="29"/>
      <c r="F80" s="29"/>
      <c r="G80" s="29"/>
      <c r="H80" s="29"/>
      <c r="I80" s="29"/>
    </row>
    <row r="81" spans="2:10">
      <c r="B81" s="30">
        <f>E79-I79</f>
        <v>0</v>
      </c>
      <c r="C81" s="30"/>
      <c r="D81" s="30"/>
      <c r="E81" s="30"/>
      <c r="F81" s="30"/>
      <c r="G81" s="30"/>
      <c r="H81" s="30"/>
      <c r="I81" s="30"/>
    </row>
    <row r="84" spans="2:10">
      <c r="B84" s="1" t="s">
        <v>101</v>
      </c>
    </row>
    <row r="85" spans="2:10">
      <c r="B85" t="s">
        <v>102</v>
      </c>
    </row>
    <row r="86" spans="2:10">
      <c r="B86" s="31" t="s">
        <v>103</v>
      </c>
      <c r="C86" s="32" t="s">
        <v>104</v>
      </c>
      <c r="D86" s="32"/>
      <c r="E86" s="32" t="s">
        <v>105</v>
      </c>
      <c r="F86" s="32" t="s">
        <v>106</v>
      </c>
      <c r="G86" s="32" t="s">
        <v>107</v>
      </c>
      <c r="H86" s="32" t="s">
        <v>108</v>
      </c>
    </row>
    <row r="87" spans="2:10">
      <c r="B87" s="33"/>
      <c r="C87" s="34"/>
      <c r="D87" s="34"/>
      <c r="E87" s="34"/>
      <c r="F87" s="34"/>
      <c r="G87" s="34"/>
      <c r="H87" s="34"/>
    </row>
    <row r="88" spans="2:10">
      <c r="B88" s="35" t="s">
        <v>13</v>
      </c>
      <c r="C88" s="36" t="s">
        <v>109</v>
      </c>
      <c r="D88" s="36"/>
      <c r="E88" s="36" t="s">
        <v>110</v>
      </c>
      <c r="F88" s="36" t="s">
        <v>111</v>
      </c>
      <c r="G88" s="36"/>
      <c r="H88" s="37"/>
    </row>
    <row r="89" spans="2:10">
      <c r="B89" s="35"/>
      <c r="C89" s="38" t="s">
        <v>112</v>
      </c>
      <c r="D89" s="38"/>
      <c r="E89" s="38" t="s">
        <v>113</v>
      </c>
      <c r="F89" s="39">
        <f>SUM(F87)</f>
        <v>0</v>
      </c>
      <c r="G89" s="38"/>
      <c r="H89" s="40"/>
    </row>
    <row r="91" spans="2:10">
      <c r="B91" s="1" t="s">
        <v>114</v>
      </c>
    </row>
    <row r="92" spans="2:10">
      <c r="B92" t="s">
        <v>115</v>
      </c>
    </row>
    <row r="93" spans="2:10">
      <c r="B93" s="31" t="s">
        <v>116</v>
      </c>
      <c r="C93" s="32" t="s">
        <v>103</v>
      </c>
      <c r="D93" s="32" t="s">
        <v>56</v>
      </c>
      <c r="E93" s="32"/>
      <c r="F93" s="32" t="s">
        <v>117</v>
      </c>
      <c r="G93" s="32" t="s">
        <v>118</v>
      </c>
      <c r="H93" s="32" t="s">
        <v>119</v>
      </c>
      <c r="I93" s="32" t="s">
        <v>120</v>
      </c>
      <c r="J93" s="32" t="s">
        <v>108</v>
      </c>
    </row>
    <row r="94" spans="2:10">
      <c r="B94" s="33" t="s">
        <v>121</v>
      </c>
      <c r="C94" s="34" t="s">
        <v>122</v>
      </c>
      <c r="D94" s="34" t="s">
        <v>77</v>
      </c>
      <c r="E94" s="34"/>
      <c r="F94" s="41">
        <v>24681084</v>
      </c>
      <c r="G94" s="41">
        <v>42458665</v>
      </c>
      <c r="H94" s="42">
        <v>72.02917424534515</v>
      </c>
      <c r="I94" s="43"/>
      <c r="J94" s="43"/>
    </row>
    <row r="95" spans="2:10">
      <c r="B95" s="33" t="s">
        <v>121</v>
      </c>
      <c r="C95" s="34" t="s">
        <v>122</v>
      </c>
      <c r="D95" s="34" t="s">
        <v>78</v>
      </c>
      <c r="E95" s="34"/>
      <c r="F95" s="41">
        <v>12564598</v>
      </c>
      <c r="G95" s="41">
        <v>11539232.9766</v>
      </c>
      <c r="H95" s="42">
        <v>-8.160746753696372</v>
      </c>
      <c r="I95" s="43"/>
      <c r="J95" s="43"/>
    </row>
    <row r="96" spans="2:10">
      <c r="B96" s="33" t="s">
        <v>121</v>
      </c>
      <c r="C96" s="34" t="s">
        <v>122</v>
      </c>
      <c r="D96" s="34" t="s">
        <v>79</v>
      </c>
      <c r="E96" s="34"/>
      <c r="F96" s="41">
        <v>103410096</v>
      </c>
      <c r="G96" s="41">
        <v>70273493.535</v>
      </c>
      <c r="H96" s="42">
        <v>-32.04387554673579</v>
      </c>
      <c r="I96" s="43"/>
      <c r="J96" s="43"/>
    </row>
    <row r="97" spans="2:10">
      <c r="B97" s="33" t="s">
        <v>121</v>
      </c>
      <c r="C97" s="34" t="s">
        <v>123</v>
      </c>
      <c r="D97" s="34" t="s">
        <v>80</v>
      </c>
      <c r="E97" s="34"/>
      <c r="F97" s="41">
        <v>4649715</v>
      </c>
      <c r="G97" s="41">
        <v>5232520</v>
      </c>
      <c r="H97" s="42">
        <v>12.53420908593322</v>
      </c>
      <c r="I97" s="43"/>
      <c r="J97" s="43"/>
    </row>
    <row r="98" spans="2:10">
      <c r="B98" s="33" t="s">
        <v>121</v>
      </c>
      <c r="C98" s="34" t="s">
        <v>124</v>
      </c>
      <c r="D98" s="34" t="s">
        <v>81</v>
      </c>
      <c r="E98" s="34"/>
      <c r="F98" s="41">
        <v>59575506</v>
      </c>
      <c r="G98" s="41">
        <v>28235731.7844</v>
      </c>
      <c r="H98" s="42">
        <v>-52.60513308204214</v>
      </c>
      <c r="I98" s="43"/>
      <c r="J98" s="43"/>
    </row>
    <row r="99" spans="2:10">
      <c r="B99" s="33" t="s">
        <v>121</v>
      </c>
      <c r="C99" s="34" t="s">
        <v>122</v>
      </c>
      <c r="D99" s="34" t="s">
        <v>82</v>
      </c>
      <c r="E99" s="34"/>
      <c r="F99" s="41">
        <v>113770</v>
      </c>
      <c r="G99" s="41">
        <v>190089.7887</v>
      </c>
      <c r="H99" s="42">
        <v>67.08252500659225</v>
      </c>
      <c r="I99" s="43"/>
      <c r="J99" s="43"/>
    </row>
    <row r="100" spans="2:10">
      <c r="B100" s="33" t="s">
        <v>121</v>
      </c>
      <c r="C100" s="34" t="s">
        <v>123</v>
      </c>
      <c r="D100" s="34" t="s">
        <v>83</v>
      </c>
      <c r="E100" s="34"/>
      <c r="F100" s="41">
        <v>808000</v>
      </c>
      <c r="G100" s="41">
        <v>656000</v>
      </c>
      <c r="H100" s="42">
        <v>-18.81188118811881</v>
      </c>
      <c r="I100" s="43"/>
      <c r="J100" s="43"/>
    </row>
    <row r="101" spans="2:10">
      <c r="B101" s="33" t="s">
        <v>121</v>
      </c>
      <c r="C101" s="34" t="s">
        <v>123</v>
      </c>
      <c r="D101" s="34" t="s">
        <v>84</v>
      </c>
      <c r="E101" s="34"/>
      <c r="F101" s="41">
        <v>24520</v>
      </c>
      <c r="G101" s="41">
        <v>24355</v>
      </c>
      <c r="H101" s="42">
        <v>-0.6729200652528549</v>
      </c>
      <c r="I101" s="43"/>
      <c r="J101" s="43"/>
    </row>
    <row r="102" spans="2:10">
      <c r="B102" s="44" t="s">
        <v>13</v>
      </c>
      <c r="C102" s="36"/>
      <c r="D102" s="36" t="s">
        <v>125</v>
      </c>
      <c r="E102" s="36"/>
      <c r="F102" s="36" t="s">
        <v>126</v>
      </c>
      <c r="G102" s="36" t="s">
        <v>127</v>
      </c>
      <c r="H102" s="36" t="s">
        <v>128</v>
      </c>
      <c r="I102" s="36"/>
      <c r="J102" s="37"/>
    </row>
    <row r="103" spans="2:10">
      <c r="B103" s="44"/>
      <c r="C103" s="38"/>
      <c r="D103" s="38" t="s">
        <v>129</v>
      </c>
      <c r="E103" s="38"/>
      <c r="F103" s="39">
        <f>SUM(F94:F101)</f>
        <v>0</v>
      </c>
      <c r="G103" s="39">
        <f>SUM(G94:G101)</f>
        <v>0</v>
      </c>
      <c r="H103" s="45">
        <f>(SUM(G94:G101) - SUM(F94:F101)) * 100 / IF(SUM(F94:F101), SUM(F94:F101), 1)</f>
        <v>0</v>
      </c>
      <c r="I103" s="38"/>
      <c r="J103" s="40"/>
    </row>
    <row r="105" spans="2:10">
      <c r="B105" s="1" t="s">
        <v>130</v>
      </c>
    </row>
    <row r="106" spans="2:10">
      <c r="B106" t="s">
        <v>131</v>
      </c>
    </row>
    <row r="107" spans="2:10">
      <c r="B107" s="46" t="s">
        <v>132</v>
      </c>
      <c r="C107" s="47" t="s">
        <v>103</v>
      </c>
      <c r="D107" s="47" t="s">
        <v>56</v>
      </c>
      <c r="E107" s="47"/>
      <c r="F107" s="47" t="s">
        <v>133</v>
      </c>
      <c r="G107" s="47" t="s">
        <v>134</v>
      </c>
      <c r="H107" s="47" t="s">
        <v>135</v>
      </c>
      <c r="I107" s="47" t="s">
        <v>136</v>
      </c>
      <c r="J107" s="47" t="s">
        <v>137</v>
      </c>
    </row>
    <row r="108" spans="2:10">
      <c r="B108" s="33"/>
      <c r="C108" s="34"/>
      <c r="D108" s="34"/>
      <c r="E108" s="34"/>
      <c r="F108" s="34"/>
      <c r="G108" s="34"/>
      <c r="H108" s="34"/>
      <c r="I108" s="34"/>
      <c r="J108" s="34"/>
    </row>
    <row r="109" spans="2:10">
      <c r="B109" s="44" t="s">
        <v>13</v>
      </c>
      <c r="C109" s="36"/>
      <c r="D109" s="36" t="s">
        <v>138</v>
      </c>
      <c r="E109" s="36"/>
      <c r="F109" s="36" t="s">
        <v>139</v>
      </c>
      <c r="G109" s="36" t="s">
        <v>140</v>
      </c>
      <c r="H109" s="36"/>
      <c r="I109" s="36"/>
      <c r="J109" s="37"/>
    </row>
    <row r="110" spans="2:10">
      <c r="B110" s="44"/>
      <c r="C110" s="38"/>
      <c r="D110" s="39">
        <f>SUM(0)</f>
        <v>0</v>
      </c>
      <c r="E110" s="39"/>
      <c r="F110" s="39">
        <f>SUM(F108)</f>
        <v>0</v>
      </c>
      <c r="G110" s="39">
        <f>SUM(G108)</f>
        <v>0</v>
      </c>
      <c r="H110" s="38"/>
      <c r="I110" s="38"/>
      <c r="J110" s="40"/>
    </row>
  </sheetData>
  <mergeCells count="109">
    <mergeCell ref="F5:G5"/>
    <mergeCell ref="F6:G6"/>
    <mergeCell ref="B40:E40"/>
    <mergeCell ref="F40:I40"/>
    <mergeCell ref="C41:D41"/>
    <mergeCell ref="G41:H41"/>
    <mergeCell ref="B42:B50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73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B79:D79"/>
    <mergeCell ref="F79:H79"/>
    <mergeCell ref="B80:I80"/>
    <mergeCell ref="B81:I81"/>
    <mergeCell ref="C86:D86"/>
    <mergeCell ref="C87:D87"/>
    <mergeCell ref="B88:B89"/>
    <mergeCell ref="C88:D88"/>
    <mergeCell ref="C89:D89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B102:B103"/>
    <mergeCell ref="D102:E102"/>
    <mergeCell ref="D103:E103"/>
    <mergeCell ref="D107:E107"/>
    <mergeCell ref="D108:E108"/>
    <mergeCell ref="B109:B110"/>
    <mergeCell ref="D109:E109"/>
    <mergeCell ref="D110:E1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85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8" t="s">
        <v>141</v>
      </c>
      <c r="B1" s="48" t="s">
        <v>142</v>
      </c>
      <c r="C1" s="48" t="s">
        <v>143</v>
      </c>
      <c r="D1" s="48" t="s">
        <v>144</v>
      </c>
      <c r="E1" s="48" t="s">
        <v>145</v>
      </c>
      <c r="F1" s="48" t="s">
        <v>146</v>
      </c>
      <c r="G1" s="48" t="s">
        <v>57</v>
      </c>
      <c r="H1" s="48" t="s">
        <v>147</v>
      </c>
      <c r="I1" s="48" t="s">
        <v>148</v>
      </c>
      <c r="J1" s="48" t="s">
        <v>149</v>
      </c>
    </row>
    <row r="2" spans="1:10">
      <c r="A2" s="49">
        <v>46104</v>
      </c>
      <c r="B2" s="50">
        <v>0.7316782407407407</v>
      </c>
      <c r="C2" t="s">
        <v>150</v>
      </c>
      <c r="D2" t="s">
        <v>42</v>
      </c>
      <c r="E2" t="s">
        <v>151</v>
      </c>
      <c r="F2" t="s">
        <v>152</v>
      </c>
      <c r="G2">
        <v>-10688</v>
      </c>
      <c r="H2" t="s">
        <v>153</v>
      </c>
      <c r="I2" t="s">
        <v>154</v>
      </c>
    </row>
    <row r="3" spans="1:10">
      <c r="A3" s="49">
        <v>46104</v>
      </c>
      <c r="B3" s="50">
        <v>0.6721875</v>
      </c>
      <c r="C3" t="s">
        <v>155</v>
      </c>
      <c r="D3" t="s">
        <v>155</v>
      </c>
      <c r="E3" t="s">
        <v>32</v>
      </c>
      <c r="F3" t="s">
        <v>156</v>
      </c>
      <c r="G3">
        <v>-386000</v>
      </c>
      <c r="H3" t="s">
        <v>153</v>
      </c>
      <c r="I3" t="s">
        <v>157</v>
      </c>
    </row>
    <row r="4" spans="1:10">
      <c r="A4" s="49">
        <v>46104</v>
      </c>
      <c r="B4" s="50">
        <v>0.6721759259259259</v>
      </c>
      <c r="C4" t="s">
        <v>155</v>
      </c>
      <c r="D4" t="s">
        <v>158</v>
      </c>
      <c r="E4" t="s">
        <v>32</v>
      </c>
      <c r="F4" t="s">
        <v>159</v>
      </c>
      <c r="G4">
        <v>63929</v>
      </c>
      <c r="H4" t="s">
        <v>153</v>
      </c>
      <c r="I4" t="s">
        <v>157</v>
      </c>
    </row>
    <row r="5" spans="1:10">
      <c r="A5" s="49">
        <v>46104</v>
      </c>
      <c r="B5" s="50">
        <v>0.6721759259259259</v>
      </c>
      <c r="C5" t="s">
        <v>155</v>
      </c>
      <c r="D5" t="s">
        <v>158</v>
      </c>
      <c r="E5" t="s">
        <v>32</v>
      </c>
      <c r="F5" t="s">
        <v>160</v>
      </c>
      <c r="G5">
        <v>-63929</v>
      </c>
      <c r="H5" t="s">
        <v>153</v>
      </c>
      <c r="I5" t="s">
        <v>64</v>
      </c>
    </row>
    <row r="6" spans="1:10">
      <c r="A6" s="49">
        <v>46104</v>
      </c>
      <c r="B6" s="50">
        <v>0.6436458333333334</v>
      </c>
      <c r="C6" t="s">
        <v>155</v>
      </c>
      <c r="D6" t="s">
        <v>155</v>
      </c>
      <c r="E6" t="s">
        <v>32</v>
      </c>
      <c r="F6" t="s">
        <v>161</v>
      </c>
      <c r="G6">
        <v>499000</v>
      </c>
      <c r="H6" t="s">
        <v>153</v>
      </c>
      <c r="I6" t="s">
        <v>67</v>
      </c>
    </row>
    <row r="7" spans="1:10">
      <c r="A7" s="49">
        <v>46104</v>
      </c>
      <c r="B7" s="50">
        <v>0.5019097222222222</v>
      </c>
      <c r="C7" t="s">
        <v>150</v>
      </c>
      <c r="D7" t="s">
        <v>44</v>
      </c>
      <c r="E7" t="s">
        <v>162</v>
      </c>
      <c r="F7" t="s">
        <v>163</v>
      </c>
      <c r="G7">
        <v>-4700</v>
      </c>
      <c r="H7" t="s">
        <v>153</v>
      </c>
      <c r="I7" t="s">
        <v>164</v>
      </c>
    </row>
    <row r="8" spans="1:10">
      <c r="A8" s="49">
        <v>46103</v>
      </c>
      <c r="B8" s="50">
        <v>0.8635069444444444</v>
      </c>
      <c r="C8" t="s">
        <v>155</v>
      </c>
      <c r="D8" t="s">
        <v>155</v>
      </c>
      <c r="E8" t="s">
        <v>32</v>
      </c>
      <c r="F8" t="s">
        <v>165</v>
      </c>
      <c r="G8">
        <v>499000</v>
      </c>
      <c r="H8" t="s">
        <v>153</v>
      </c>
      <c r="I8" t="s">
        <v>67</v>
      </c>
    </row>
    <row r="9" spans="1:10">
      <c r="A9" s="49">
        <v>46103</v>
      </c>
      <c r="B9" s="50">
        <v>0.8605439814814815</v>
      </c>
      <c r="C9" t="s">
        <v>150</v>
      </c>
      <c r="D9" t="s">
        <v>44</v>
      </c>
      <c r="E9" t="s">
        <v>162</v>
      </c>
      <c r="F9" t="s">
        <v>166</v>
      </c>
      <c r="G9">
        <v>-9900</v>
      </c>
      <c r="H9" t="s">
        <v>153</v>
      </c>
      <c r="I9" t="s">
        <v>154</v>
      </c>
    </row>
    <row r="10" spans="1:10">
      <c r="A10" s="49">
        <v>46103</v>
      </c>
      <c r="B10" s="50">
        <v>0.8071643518518519</v>
      </c>
      <c r="C10" t="s">
        <v>167</v>
      </c>
      <c r="D10" t="s">
        <v>31</v>
      </c>
      <c r="E10" t="s">
        <v>32</v>
      </c>
      <c r="F10" t="s">
        <v>168</v>
      </c>
      <c r="G10">
        <v>3000</v>
      </c>
      <c r="H10" t="s">
        <v>153</v>
      </c>
      <c r="I10" t="s">
        <v>64</v>
      </c>
    </row>
    <row r="11" spans="1:10">
      <c r="A11" s="49">
        <v>46103</v>
      </c>
      <c r="B11" s="50">
        <v>0.8069675925925925</v>
      </c>
      <c r="C11" t="s">
        <v>150</v>
      </c>
      <c r="D11" t="s">
        <v>35</v>
      </c>
      <c r="E11" t="s">
        <v>169</v>
      </c>
      <c r="F11" t="s">
        <v>170</v>
      </c>
      <c r="G11">
        <v>-2120</v>
      </c>
      <c r="H11" t="s">
        <v>153</v>
      </c>
      <c r="I11" t="s">
        <v>171</v>
      </c>
    </row>
    <row r="12" spans="1:10">
      <c r="A12" s="49">
        <v>46103</v>
      </c>
      <c r="B12" s="50">
        <v>0.8044212962962963</v>
      </c>
      <c r="C12" t="s">
        <v>150</v>
      </c>
      <c r="D12" t="s">
        <v>35</v>
      </c>
      <c r="E12" t="s">
        <v>169</v>
      </c>
      <c r="F12" t="s">
        <v>170</v>
      </c>
      <c r="G12">
        <v>3000</v>
      </c>
      <c r="H12" t="s">
        <v>153</v>
      </c>
      <c r="I12" t="s">
        <v>171</v>
      </c>
    </row>
    <row r="13" spans="1:10">
      <c r="A13" s="49">
        <v>46103</v>
      </c>
      <c r="B13" s="50">
        <v>0.8044212962962963</v>
      </c>
      <c r="C13" t="s">
        <v>150</v>
      </c>
      <c r="D13" t="s">
        <v>40</v>
      </c>
      <c r="E13" t="s">
        <v>172</v>
      </c>
      <c r="F13" t="s">
        <v>173</v>
      </c>
      <c r="G13">
        <v>-3000</v>
      </c>
      <c r="H13" t="s">
        <v>153</v>
      </c>
      <c r="I13" t="s">
        <v>64</v>
      </c>
    </row>
    <row r="14" spans="1:10">
      <c r="A14" s="49">
        <v>46102</v>
      </c>
      <c r="B14" s="50">
        <v>0.9514814814814815</v>
      </c>
      <c r="C14" t="s">
        <v>150</v>
      </c>
      <c r="D14" t="s">
        <v>35</v>
      </c>
      <c r="E14" t="s">
        <v>174</v>
      </c>
      <c r="F14" t="s">
        <v>175</v>
      </c>
      <c r="G14">
        <v>-23700</v>
      </c>
      <c r="H14" t="s">
        <v>153</v>
      </c>
      <c r="I14" t="s">
        <v>154</v>
      </c>
    </row>
    <row r="15" spans="1:10">
      <c r="A15" s="49">
        <v>46102</v>
      </c>
      <c r="B15" s="50">
        <v>0.9155902777777778</v>
      </c>
      <c r="C15" t="s">
        <v>150</v>
      </c>
      <c r="D15" t="s">
        <v>35</v>
      </c>
      <c r="E15" t="s">
        <v>174</v>
      </c>
      <c r="F15" t="s">
        <v>176</v>
      </c>
      <c r="G15">
        <v>20400</v>
      </c>
      <c r="H15" t="s">
        <v>153</v>
      </c>
      <c r="I15" t="s">
        <v>154</v>
      </c>
    </row>
    <row r="16" spans="1:10">
      <c r="A16" s="49">
        <v>46102</v>
      </c>
      <c r="B16" s="50">
        <v>0.9155671296296296</v>
      </c>
      <c r="C16" t="s">
        <v>150</v>
      </c>
      <c r="D16" t="s">
        <v>35</v>
      </c>
      <c r="E16" t="s">
        <v>174</v>
      </c>
      <c r="F16" t="s">
        <v>176</v>
      </c>
      <c r="G16">
        <v>-20400</v>
      </c>
      <c r="H16" t="s">
        <v>153</v>
      </c>
      <c r="I16" t="s">
        <v>154</v>
      </c>
    </row>
    <row r="17" spans="1:9">
      <c r="A17" s="49">
        <v>46102</v>
      </c>
      <c r="B17" s="50">
        <v>0.7682523148148148</v>
      </c>
      <c r="C17" t="s">
        <v>150</v>
      </c>
      <c r="D17" t="s">
        <v>42</v>
      </c>
      <c r="E17" t="s">
        <v>177</v>
      </c>
      <c r="F17" t="s">
        <v>178</v>
      </c>
      <c r="G17">
        <v>-60000</v>
      </c>
      <c r="H17" t="s">
        <v>153</v>
      </c>
      <c r="I17" t="s">
        <v>154</v>
      </c>
    </row>
    <row r="18" spans="1:9">
      <c r="A18" s="49">
        <v>46102</v>
      </c>
      <c r="B18" s="50">
        <v>0.528125</v>
      </c>
      <c r="C18" t="s">
        <v>155</v>
      </c>
      <c r="D18" t="s">
        <v>155</v>
      </c>
      <c r="E18" t="s">
        <v>32</v>
      </c>
      <c r="F18" t="s">
        <v>179</v>
      </c>
      <c r="G18">
        <v>54441</v>
      </c>
      <c r="H18" t="s">
        <v>153</v>
      </c>
      <c r="I18" t="s">
        <v>157</v>
      </c>
    </row>
    <row r="19" spans="1:9">
      <c r="A19" s="49">
        <v>46102</v>
      </c>
      <c r="B19" s="50">
        <v>0.5048958333333333</v>
      </c>
      <c r="C19" t="s">
        <v>155</v>
      </c>
      <c r="D19" t="s">
        <v>155</v>
      </c>
      <c r="E19" t="s">
        <v>32</v>
      </c>
      <c r="F19" t="s">
        <v>180</v>
      </c>
      <c r="G19">
        <v>54441</v>
      </c>
      <c r="H19" t="s">
        <v>153</v>
      </c>
      <c r="I19" t="s">
        <v>157</v>
      </c>
    </row>
    <row r="20" spans="1:9">
      <c r="A20" s="49">
        <v>46102</v>
      </c>
      <c r="B20" s="50">
        <v>0.5048611111111111</v>
      </c>
      <c r="C20" t="s">
        <v>155</v>
      </c>
      <c r="D20" t="s">
        <v>155</v>
      </c>
      <c r="E20" t="s">
        <v>32</v>
      </c>
      <c r="F20" t="s">
        <v>181</v>
      </c>
      <c r="G20">
        <v>54441</v>
      </c>
      <c r="H20" t="s">
        <v>153</v>
      </c>
      <c r="I20" t="s">
        <v>157</v>
      </c>
    </row>
    <row r="21" spans="1:9">
      <c r="A21" s="49">
        <v>46102</v>
      </c>
      <c r="B21" s="50">
        <v>0.5038194444444445</v>
      </c>
      <c r="C21" t="s">
        <v>155</v>
      </c>
      <c r="D21" t="s">
        <v>155</v>
      </c>
      <c r="E21" t="s">
        <v>32</v>
      </c>
      <c r="F21" t="s">
        <v>182</v>
      </c>
      <c r="G21">
        <v>54441</v>
      </c>
      <c r="H21" t="s">
        <v>153</v>
      </c>
      <c r="I21" t="s">
        <v>157</v>
      </c>
    </row>
    <row r="22" spans="1:9">
      <c r="A22" s="49">
        <v>46102</v>
      </c>
      <c r="B22" s="50">
        <v>0.4800462962962963</v>
      </c>
      <c r="C22" t="s">
        <v>155</v>
      </c>
      <c r="D22" t="s">
        <v>155</v>
      </c>
      <c r="E22" t="s">
        <v>32</v>
      </c>
      <c r="F22" t="s">
        <v>183</v>
      </c>
      <c r="G22">
        <v>54441</v>
      </c>
      <c r="H22" t="s">
        <v>153</v>
      </c>
      <c r="I22" t="s">
        <v>157</v>
      </c>
    </row>
    <row r="23" spans="1:9">
      <c r="A23" s="49">
        <v>46102</v>
      </c>
      <c r="B23" s="50">
        <v>0.4788657407407407</v>
      </c>
      <c r="C23" t="s">
        <v>155</v>
      </c>
      <c r="D23" t="s">
        <v>155</v>
      </c>
      <c r="E23" t="s">
        <v>32</v>
      </c>
      <c r="F23" t="s">
        <v>184</v>
      </c>
      <c r="G23">
        <v>54441</v>
      </c>
      <c r="H23" t="s">
        <v>153</v>
      </c>
      <c r="I23" t="s">
        <v>157</v>
      </c>
    </row>
    <row r="24" spans="1:9">
      <c r="A24" s="49">
        <v>46102</v>
      </c>
      <c r="B24" s="50">
        <v>0.4744328703703704</v>
      </c>
      <c r="C24" t="s">
        <v>150</v>
      </c>
      <c r="D24" t="s">
        <v>48</v>
      </c>
      <c r="E24" t="s">
        <v>185</v>
      </c>
      <c r="F24" t="s">
        <v>186</v>
      </c>
      <c r="G24">
        <v>-6000</v>
      </c>
      <c r="H24" t="s">
        <v>153</v>
      </c>
      <c r="I24" t="s">
        <v>154</v>
      </c>
    </row>
    <row r="25" spans="1:9">
      <c r="A25" s="49">
        <v>46102</v>
      </c>
      <c r="B25" s="50">
        <v>0.471412037037037</v>
      </c>
      <c r="C25" t="s">
        <v>150</v>
      </c>
      <c r="D25" t="s">
        <v>35</v>
      </c>
      <c r="E25" t="s">
        <v>169</v>
      </c>
      <c r="F25" t="s">
        <v>187</v>
      </c>
      <c r="G25">
        <v>-1569</v>
      </c>
      <c r="H25" t="s">
        <v>153</v>
      </c>
      <c r="I25" t="s">
        <v>171</v>
      </c>
    </row>
    <row r="26" spans="1:9">
      <c r="A26" s="49">
        <v>46102</v>
      </c>
      <c r="B26" s="50">
        <v>0.3908217592592593</v>
      </c>
      <c r="C26" t="s">
        <v>167</v>
      </c>
      <c r="D26" t="s">
        <v>28</v>
      </c>
      <c r="E26" t="s">
        <v>32</v>
      </c>
      <c r="F26" t="s">
        <v>188</v>
      </c>
      <c r="G26">
        <v>1</v>
      </c>
      <c r="H26" t="s">
        <v>153</v>
      </c>
      <c r="I26" t="s">
        <v>60</v>
      </c>
    </row>
    <row r="27" spans="1:9">
      <c r="A27" s="49">
        <v>46102</v>
      </c>
      <c r="B27" s="50">
        <v>0.1482407407407407</v>
      </c>
      <c r="C27" t="s">
        <v>167</v>
      </c>
      <c r="D27" t="s">
        <v>32</v>
      </c>
      <c r="E27" t="s">
        <v>32</v>
      </c>
      <c r="F27" t="s">
        <v>189</v>
      </c>
      <c r="G27">
        <v>34</v>
      </c>
      <c r="H27" t="s">
        <v>153</v>
      </c>
      <c r="I27" t="s">
        <v>65</v>
      </c>
    </row>
    <row r="28" spans="1:9">
      <c r="A28" s="49">
        <v>46102</v>
      </c>
      <c r="B28" s="50">
        <v>0.1425</v>
      </c>
      <c r="C28" t="s">
        <v>167</v>
      </c>
      <c r="D28" t="s">
        <v>32</v>
      </c>
      <c r="E28" t="s">
        <v>32</v>
      </c>
      <c r="F28" t="s">
        <v>189</v>
      </c>
      <c r="G28">
        <v>1</v>
      </c>
      <c r="H28" t="s">
        <v>153</v>
      </c>
      <c r="I28" t="s">
        <v>66</v>
      </c>
    </row>
    <row r="29" spans="1:9">
      <c r="A29" s="49">
        <v>46102</v>
      </c>
      <c r="B29" s="50">
        <v>0.07417824074074074</v>
      </c>
      <c r="C29" t="s">
        <v>167</v>
      </c>
      <c r="D29" t="s">
        <v>28</v>
      </c>
      <c r="E29" t="s">
        <v>32</v>
      </c>
      <c r="F29" t="s">
        <v>190</v>
      </c>
      <c r="G29">
        <v>0</v>
      </c>
      <c r="H29" t="s">
        <v>153</v>
      </c>
      <c r="I29" t="s">
        <v>63</v>
      </c>
    </row>
    <row r="30" spans="1:9">
      <c r="A30" s="49">
        <v>46102</v>
      </c>
      <c r="B30" s="50">
        <v>0.04788194444444444</v>
      </c>
      <c r="C30" t="s">
        <v>150</v>
      </c>
      <c r="D30" t="s">
        <v>36</v>
      </c>
      <c r="E30" t="s">
        <v>191</v>
      </c>
      <c r="F30" t="s">
        <v>192</v>
      </c>
      <c r="G30">
        <v>-925000</v>
      </c>
      <c r="H30" t="s">
        <v>153</v>
      </c>
      <c r="I30" t="s">
        <v>157</v>
      </c>
    </row>
    <row r="31" spans="1:9">
      <c r="A31" s="49">
        <v>46102</v>
      </c>
      <c r="B31" s="50">
        <v>0.04788194444444444</v>
      </c>
      <c r="C31" t="s">
        <v>155</v>
      </c>
      <c r="D31" t="s">
        <v>158</v>
      </c>
      <c r="E31" t="s">
        <v>32</v>
      </c>
      <c r="F31" t="s">
        <v>160</v>
      </c>
      <c r="G31">
        <v>-270754</v>
      </c>
      <c r="H31" t="s">
        <v>153</v>
      </c>
      <c r="I31" t="s">
        <v>64</v>
      </c>
    </row>
    <row r="32" spans="1:9">
      <c r="A32" s="49">
        <v>46102</v>
      </c>
      <c r="B32" s="50">
        <v>0.04787037037037037</v>
      </c>
      <c r="C32" t="s">
        <v>155</v>
      </c>
      <c r="D32" t="s">
        <v>158</v>
      </c>
      <c r="E32" t="s">
        <v>32</v>
      </c>
      <c r="F32" t="s">
        <v>159</v>
      </c>
      <c r="G32">
        <v>270754</v>
      </c>
      <c r="H32" t="s">
        <v>153</v>
      </c>
      <c r="I32" t="s">
        <v>157</v>
      </c>
    </row>
    <row r="33" spans="1:9">
      <c r="A33" s="49">
        <v>46101</v>
      </c>
      <c r="B33" s="50">
        <v>0.9912268518518519</v>
      </c>
      <c r="C33" t="s">
        <v>155</v>
      </c>
      <c r="D33" t="s">
        <v>155</v>
      </c>
      <c r="E33" t="s">
        <v>32</v>
      </c>
      <c r="F33" t="s">
        <v>193</v>
      </c>
      <c r="G33">
        <v>499000</v>
      </c>
      <c r="H33" t="s">
        <v>153</v>
      </c>
      <c r="I33" t="s">
        <v>67</v>
      </c>
    </row>
    <row r="34" spans="1:9">
      <c r="A34" s="49">
        <v>46101</v>
      </c>
      <c r="B34" s="50">
        <v>0.9159259259259259</v>
      </c>
      <c r="C34" t="s">
        <v>155</v>
      </c>
      <c r="D34" t="s">
        <v>158</v>
      </c>
      <c r="E34" t="s">
        <v>32</v>
      </c>
      <c r="F34" t="s">
        <v>194</v>
      </c>
      <c r="G34">
        <v>-41710</v>
      </c>
      <c r="H34" t="s">
        <v>153</v>
      </c>
      <c r="I34" t="s">
        <v>67</v>
      </c>
    </row>
    <row r="35" spans="1:9">
      <c r="A35" s="49">
        <v>46101</v>
      </c>
      <c r="B35" s="50">
        <v>0.5034606481481482</v>
      </c>
      <c r="C35" t="s">
        <v>150</v>
      </c>
      <c r="D35" t="s">
        <v>44</v>
      </c>
      <c r="E35" t="s">
        <v>162</v>
      </c>
      <c r="F35" t="s">
        <v>195</v>
      </c>
      <c r="G35">
        <v>-15000</v>
      </c>
      <c r="H35" t="s">
        <v>153</v>
      </c>
      <c r="I35" t="s">
        <v>154</v>
      </c>
    </row>
    <row r="36" spans="1:9">
      <c r="A36" s="49">
        <v>46100</v>
      </c>
      <c r="B36" s="50">
        <v>0.9287037037037037</v>
      </c>
      <c r="C36" t="s">
        <v>150</v>
      </c>
      <c r="D36" t="s">
        <v>48</v>
      </c>
      <c r="E36" t="s">
        <v>196</v>
      </c>
      <c r="F36" t="s">
        <v>197</v>
      </c>
      <c r="G36">
        <v>-65000</v>
      </c>
      <c r="H36" t="s">
        <v>153</v>
      </c>
      <c r="I36" t="s">
        <v>154</v>
      </c>
    </row>
    <row r="37" spans="1:9">
      <c r="A37" s="49">
        <v>46100</v>
      </c>
      <c r="B37" s="50">
        <v>0.7601157407407407</v>
      </c>
      <c r="C37" t="s">
        <v>150</v>
      </c>
      <c r="D37" t="s">
        <v>44</v>
      </c>
      <c r="E37" t="s">
        <v>162</v>
      </c>
      <c r="F37" t="s">
        <v>166</v>
      </c>
      <c r="G37">
        <v>-9070</v>
      </c>
      <c r="H37" t="s">
        <v>153</v>
      </c>
      <c r="I37" t="s">
        <v>154</v>
      </c>
    </row>
    <row r="38" spans="1:9">
      <c r="A38" s="49">
        <v>46100</v>
      </c>
      <c r="B38" s="50">
        <v>0.6387037037037037</v>
      </c>
      <c r="C38" t="s">
        <v>155</v>
      </c>
      <c r="D38" t="s">
        <v>155</v>
      </c>
      <c r="E38" t="s">
        <v>32</v>
      </c>
      <c r="F38" t="s">
        <v>198</v>
      </c>
      <c r="G38">
        <v>54441</v>
      </c>
      <c r="H38" t="s">
        <v>153</v>
      </c>
      <c r="I38" t="s">
        <v>157</v>
      </c>
    </row>
    <row r="39" spans="1:9">
      <c r="A39" s="49">
        <v>46100</v>
      </c>
      <c r="B39" s="50">
        <v>0.4320833333333333</v>
      </c>
      <c r="C39" t="s">
        <v>155</v>
      </c>
      <c r="D39" t="s">
        <v>155</v>
      </c>
      <c r="E39" t="s">
        <v>32</v>
      </c>
      <c r="F39" t="s">
        <v>156</v>
      </c>
      <c r="G39">
        <v>54441</v>
      </c>
      <c r="H39" t="s">
        <v>153</v>
      </c>
      <c r="I39" t="s">
        <v>157</v>
      </c>
    </row>
    <row r="40" spans="1:9">
      <c r="A40" s="49">
        <v>46100</v>
      </c>
      <c r="B40" s="50">
        <v>0.3492476851851852</v>
      </c>
      <c r="C40" t="s">
        <v>150</v>
      </c>
      <c r="D40" t="s">
        <v>35</v>
      </c>
      <c r="E40" t="s">
        <v>169</v>
      </c>
      <c r="F40" t="s">
        <v>199</v>
      </c>
      <c r="G40">
        <v>-1560</v>
      </c>
      <c r="H40" t="s">
        <v>153</v>
      </c>
      <c r="I40" t="s">
        <v>164</v>
      </c>
    </row>
    <row r="41" spans="1:9">
      <c r="A41" s="49">
        <v>46100</v>
      </c>
      <c r="B41" s="50">
        <v>0.3404976851851852</v>
      </c>
      <c r="C41" t="s">
        <v>155</v>
      </c>
      <c r="D41" t="s">
        <v>155</v>
      </c>
      <c r="E41" t="s">
        <v>32</v>
      </c>
      <c r="F41" t="s">
        <v>200</v>
      </c>
      <c r="G41">
        <v>54441</v>
      </c>
      <c r="H41" t="s">
        <v>153</v>
      </c>
      <c r="I41" t="s">
        <v>157</v>
      </c>
    </row>
    <row r="42" spans="1:9">
      <c r="A42" s="49">
        <v>46100</v>
      </c>
      <c r="B42" s="50">
        <v>0.1210416666666667</v>
      </c>
      <c r="C42" t="s">
        <v>150</v>
      </c>
      <c r="D42" t="s">
        <v>37</v>
      </c>
      <c r="E42" t="s">
        <v>201</v>
      </c>
      <c r="F42" t="s">
        <v>202</v>
      </c>
      <c r="G42">
        <v>-6716</v>
      </c>
      <c r="H42" t="s">
        <v>153</v>
      </c>
      <c r="I42" t="s">
        <v>154</v>
      </c>
    </row>
    <row r="43" spans="1:9">
      <c r="A43" s="49">
        <v>46100</v>
      </c>
      <c r="B43" s="50">
        <v>0.03913194444444444</v>
      </c>
      <c r="C43" t="s">
        <v>150</v>
      </c>
      <c r="D43" t="s">
        <v>44</v>
      </c>
      <c r="E43" t="s">
        <v>162</v>
      </c>
      <c r="F43" t="s">
        <v>166</v>
      </c>
      <c r="G43">
        <v>-17900</v>
      </c>
      <c r="H43" t="s">
        <v>153</v>
      </c>
      <c r="I43" t="s">
        <v>154</v>
      </c>
    </row>
    <row r="44" spans="1:9">
      <c r="A44" s="49">
        <v>46099</v>
      </c>
      <c r="B44" s="50">
        <v>0.9700925925925926</v>
      </c>
      <c r="C44" t="s">
        <v>155</v>
      </c>
      <c r="D44" t="s">
        <v>155</v>
      </c>
      <c r="E44" t="s">
        <v>32</v>
      </c>
      <c r="F44" t="s">
        <v>203</v>
      </c>
      <c r="G44">
        <v>499000</v>
      </c>
      <c r="H44" t="s">
        <v>153</v>
      </c>
      <c r="I44" t="s">
        <v>67</v>
      </c>
    </row>
    <row r="45" spans="1:9">
      <c r="A45" s="49">
        <v>46099</v>
      </c>
      <c r="B45" s="50">
        <v>0.4914120370370371</v>
      </c>
      <c r="C45" t="s">
        <v>155</v>
      </c>
      <c r="D45" t="s">
        <v>155</v>
      </c>
      <c r="E45" t="s">
        <v>32</v>
      </c>
      <c r="F45" t="s">
        <v>204</v>
      </c>
      <c r="G45">
        <v>54441</v>
      </c>
      <c r="H45" t="s">
        <v>153</v>
      </c>
      <c r="I45" t="s">
        <v>157</v>
      </c>
    </row>
    <row r="46" spans="1:9">
      <c r="A46" s="49">
        <v>46099</v>
      </c>
      <c r="B46" s="50">
        <v>0.4825694444444444</v>
      </c>
      <c r="C46" t="s">
        <v>155</v>
      </c>
      <c r="D46" t="s">
        <v>155</v>
      </c>
      <c r="E46" t="s">
        <v>32</v>
      </c>
      <c r="F46" t="s">
        <v>205</v>
      </c>
      <c r="G46">
        <v>54441</v>
      </c>
      <c r="H46" t="s">
        <v>153</v>
      </c>
      <c r="I46" t="s">
        <v>157</v>
      </c>
    </row>
    <row r="47" spans="1:9">
      <c r="A47" s="49">
        <v>46099</v>
      </c>
      <c r="B47" s="50">
        <v>0.4825115740740741</v>
      </c>
      <c r="C47" t="s">
        <v>155</v>
      </c>
      <c r="D47" t="s">
        <v>155</v>
      </c>
      <c r="E47" t="s">
        <v>32</v>
      </c>
      <c r="F47" t="s">
        <v>206</v>
      </c>
      <c r="G47">
        <v>54441</v>
      </c>
      <c r="H47" t="s">
        <v>153</v>
      </c>
      <c r="I47" t="s">
        <v>157</v>
      </c>
    </row>
    <row r="48" spans="1:9">
      <c r="A48" s="49">
        <v>46099</v>
      </c>
      <c r="B48" s="50">
        <v>0.4725231481481482</v>
      </c>
      <c r="C48" t="s">
        <v>155</v>
      </c>
      <c r="D48" t="s">
        <v>155</v>
      </c>
      <c r="E48" t="s">
        <v>32</v>
      </c>
      <c r="F48" t="s">
        <v>207</v>
      </c>
      <c r="G48">
        <v>54441</v>
      </c>
      <c r="H48" t="s">
        <v>153</v>
      </c>
      <c r="I48" t="s">
        <v>157</v>
      </c>
    </row>
    <row r="49" spans="1:9">
      <c r="A49" s="49">
        <v>46099</v>
      </c>
      <c r="B49" s="50">
        <v>0.4724768518518518</v>
      </c>
      <c r="C49" t="s">
        <v>155</v>
      </c>
      <c r="D49" t="s">
        <v>155</v>
      </c>
      <c r="E49" t="s">
        <v>32</v>
      </c>
      <c r="F49" t="s">
        <v>208</v>
      </c>
      <c r="G49">
        <v>54441</v>
      </c>
      <c r="H49" t="s">
        <v>153</v>
      </c>
      <c r="I49" t="s">
        <v>157</v>
      </c>
    </row>
    <row r="50" spans="1:9">
      <c r="A50" s="49">
        <v>46099</v>
      </c>
      <c r="B50" s="50">
        <v>0.4623611111111111</v>
      </c>
      <c r="C50" t="s">
        <v>155</v>
      </c>
      <c r="D50" t="s">
        <v>155</v>
      </c>
      <c r="E50" t="s">
        <v>32</v>
      </c>
      <c r="F50" t="s">
        <v>209</v>
      </c>
      <c r="G50">
        <v>54441</v>
      </c>
      <c r="H50" t="s">
        <v>153</v>
      </c>
      <c r="I50" t="s">
        <v>157</v>
      </c>
    </row>
    <row r="51" spans="1:9">
      <c r="A51" s="49">
        <v>46099</v>
      </c>
      <c r="B51" s="50">
        <v>0.4605439814814815</v>
      </c>
      <c r="C51" t="s">
        <v>155</v>
      </c>
      <c r="D51" t="s">
        <v>155</v>
      </c>
      <c r="E51" t="s">
        <v>32</v>
      </c>
      <c r="F51" t="s">
        <v>210</v>
      </c>
      <c r="G51">
        <v>54441</v>
      </c>
      <c r="H51" t="s">
        <v>153</v>
      </c>
      <c r="I51" t="s">
        <v>157</v>
      </c>
    </row>
    <row r="52" spans="1:9">
      <c r="A52" s="49">
        <v>46099</v>
      </c>
      <c r="B52" s="50">
        <v>0.4589930555555555</v>
      </c>
      <c r="C52" t="s">
        <v>167</v>
      </c>
      <c r="D52" t="s">
        <v>30</v>
      </c>
      <c r="E52" t="s">
        <v>32</v>
      </c>
      <c r="F52" t="s">
        <v>211</v>
      </c>
      <c r="G52">
        <v>3</v>
      </c>
      <c r="H52" t="s">
        <v>153</v>
      </c>
      <c r="I52" t="s">
        <v>157</v>
      </c>
    </row>
    <row r="53" spans="1:9">
      <c r="A53" s="49">
        <v>46098</v>
      </c>
      <c r="B53" s="50">
        <v>0.6093981481481482</v>
      </c>
      <c r="C53" t="s">
        <v>150</v>
      </c>
      <c r="D53" t="s">
        <v>35</v>
      </c>
      <c r="E53" t="s">
        <v>169</v>
      </c>
      <c r="F53" t="s">
        <v>199</v>
      </c>
      <c r="G53">
        <v>-1740</v>
      </c>
      <c r="H53" t="s">
        <v>153</v>
      </c>
      <c r="I53" t="s">
        <v>164</v>
      </c>
    </row>
    <row r="54" spans="1:9">
      <c r="A54" s="49">
        <v>46098</v>
      </c>
      <c r="B54" s="50">
        <v>0.4671990740740741</v>
      </c>
      <c r="C54" t="s">
        <v>150</v>
      </c>
      <c r="D54" t="s">
        <v>42</v>
      </c>
      <c r="E54" t="s">
        <v>212</v>
      </c>
      <c r="F54" t="s">
        <v>213</v>
      </c>
      <c r="G54">
        <v>-33000</v>
      </c>
      <c r="H54" t="s">
        <v>153</v>
      </c>
      <c r="I54" t="s">
        <v>214</v>
      </c>
    </row>
    <row r="55" spans="1:9">
      <c r="A55" s="49">
        <v>46097</v>
      </c>
      <c r="B55" s="50">
        <v>0.9994444444444445</v>
      </c>
      <c r="C55" t="s">
        <v>150</v>
      </c>
      <c r="D55" t="s">
        <v>35</v>
      </c>
      <c r="E55" t="s">
        <v>169</v>
      </c>
      <c r="F55" t="s">
        <v>199</v>
      </c>
      <c r="G55">
        <v>-2640</v>
      </c>
      <c r="H55" t="s">
        <v>153</v>
      </c>
      <c r="I55" t="s">
        <v>164</v>
      </c>
    </row>
    <row r="56" spans="1:9">
      <c r="A56" s="49">
        <v>46097</v>
      </c>
      <c r="B56" s="50">
        <v>0.9347685185185185</v>
      </c>
      <c r="C56" t="s">
        <v>155</v>
      </c>
      <c r="D56" t="s">
        <v>155</v>
      </c>
      <c r="E56" t="s">
        <v>32</v>
      </c>
      <c r="F56" t="s">
        <v>215</v>
      </c>
      <c r="G56">
        <v>499000</v>
      </c>
      <c r="H56" t="s">
        <v>153</v>
      </c>
      <c r="I56" t="s">
        <v>67</v>
      </c>
    </row>
    <row r="57" spans="1:9">
      <c r="A57" s="49">
        <v>46097</v>
      </c>
      <c r="B57" s="50">
        <v>0.4207986111111111</v>
      </c>
      <c r="C57" t="s">
        <v>150</v>
      </c>
      <c r="D57" t="s">
        <v>35</v>
      </c>
      <c r="E57" t="s">
        <v>169</v>
      </c>
      <c r="F57" t="s">
        <v>199</v>
      </c>
      <c r="G57">
        <v>-1740</v>
      </c>
      <c r="H57" t="s">
        <v>153</v>
      </c>
      <c r="I57" t="s">
        <v>164</v>
      </c>
    </row>
    <row r="58" spans="1:9">
      <c r="A58" s="49">
        <v>46097</v>
      </c>
      <c r="B58" s="50">
        <v>0.3993402777777778</v>
      </c>
      <c r="C58" t="s">
        <v>155</v>
      </c>
      <c r="D58" t="s">
        <v>155</v>
      </c>
      <c r="E58" t="s">
        <v>32</v>
      </c>
      <c r="F58" t="s">
        <v>216</v>
      </c>
      <c r="G58">
        <v>499000</v>
      </c>
      <c r="H58" t="s">
        <v>153</v>
      </c>
      <c r="I58" t="s">
        <v>67</v>
      </c>
    </row>
    <row r="59" spans="1:9">
      <c r="A59" s="49">
        <v>46097</v>
      </c>
      <c r="B59" s="50">
        <v>0.3622106481481481</v>
      </c>
      <c r="C59" t="s">
        <v>155</v>
      </c>
      <c r="D59" t="s">
        <v>155</v>
      </c>
      <c r="E59" t="s">
        <v>32</v>
      </c>
      <c r="F59" t="s">
        <v>217</v>
      </c>
      <c r="G59">
        <v>499000</v>
      </c>
      <c r="H59" t="s">
        <v>153</v>
      </c>
      <c r="I59" t="s">
        <v>67</v>
      </c>
    </row>
    <row r="60" spans="1:9">
      <c r="A60" s="49">
        <v>46097</v>
      </c>
      <c r="B60" s="50">
        <v>0.1119444444444444</v>
      </c>
      <c r="C60" t="s">
        <v>155</v>
      </c>
      <c r="D60" t="s">
        <v>155</v>
      </c>
      <c r="E60" t="s">
        <v>32</v>
      </c>
      <c r="F60" t="s">
        <v>218</v>
      </c>
      <c r="G60">
        <v>499000</v>
      </c>
      <c r="H60" t="s">
        <v>153</v>
      </c>
      <c r="I60" t="s">
        <v>67</v>
      </c>
    </row>
    <row r="61" spans="1:9">
      <c r="A61" s="49">
        <v>46096</v>
      </c>
      <c r="B61" s="50">
        <v>0.9658333333333333</v>
      </c>
      <c r="C61" t="s">
        <v>155</v>
      </c>
      <c r="D61" t="s">
        <v>155</v>
      </c>
      <c r="E61" t="s">
        <v>32</v>
      </c>
      <c r="F61" t="s">
        <v>219</v>
      </c>
      <c r="G61">
        <v>499000</v>
      </c>
      <c r="H61" t="s">
        <v>153</v>
      </c>
      <c r="I61" t="s">
        <v>67</v>
      </c>
    </row>
    <row r="62" spans="1:9">
      <c r="A62" s="49">
        <v>46096</v>
      </c>
      <c r="B62" s="50">
        <v>0.8040740740740741</v>
      </c>
      <c r="C62" t="s">
        <v>155</v>
      </c>
      <c r="D62" t="s">
        <v>155</v>
      </c>
      <c r="E62" t="s">
        <v>32</v>
      </c>
      <c r="F62" t="s">
        <v>220</v>
      </c>
      <c r="G62">
        <v>499000</v>
      </c>
      <c r="H62" t="s">
        <v>153</v>
      </c>
      <c r="I62" t="s">
        <v>67</v>
      </c>
    </row>
    <row r="63" spans="1:9">
      <c r="A63" s="49">
        <v>46096</v>
      </c>
      <c r="B63" s="50">
        <v>0.6625810185185185</v>
      </c>
      <c r="C63" t="s">
        <v>155</v>
      </c>
      <c r="D63" t="s">
        <v>155</v>
      </c>
      <c r="E63" t="s">
        <v>32</v>
      </c>
      <c r="F63" t="s">
        <v>217</v>
      </c>
      <c r="G63">
        <v>1500</v>
      </c>
      <c r="H63" t="s">
        <v>153</v>
      </c>
      <c r="I63" t="s">
        <v>67</v>
      </c>
    </row>
    <row r="64" spans="1:9">
      <c r="A64" s="49">
        <v>46096</v>
      </c>
      <c r="B64" s="50">
        <v>0.2933101851851852</v>
      </c>
      <c r="C64" t="s">
        <v>150</v>
      </c>
      <c r="D64" t="s">
        <v>35</v>
      </c>
      <c r="E64" t="s">
        <v>169</v>
      </c>
      <c r="F64" t="s">
        <v>199</v>
      </c>
      <c r="G64">
        <v>-2460</v>
      </c>
      <c r="H64" t="s">
        <v>153</v>
      </c>
      <c r="I64" t="s">
        <v>164</v>
      </c>
    </row>
    <row r="65" spans="1:9">
      <c r="A65" s="49">
        <v>46095</v>
      </c>
      <c r="B65" s="50">
        <v>0.8451736111111111</v>
      </c>
      <c r="C65" t="s">
        <v>150</v>
      </c>
      <c r="D65" t="s">
        <v>42</v>
      </c>
      <c r="E65" t="s">
        <v>212</v>
      </c>
      <c r="F65" t="s">
        <v>213</v>
      </c>
      <c r="G65">
        <v>-124000</v>
      </c>
      <c r="H65" t="s">
        <v>153</v>
      </c>
      <c r="I65" t="s">
        <v>214</v>
      </c>
    </row>
    <row r="66" spans="1:9">
      <c r="A66" s="49">
        <v>46095</v>
      </c>
      <c r="B66" s="50">
        <v>0.7364467592592593</v>
      </c>
      <c r="C66" t="s">
        <v>155</v>
      </c>
      <c r="D66" t="s">
        <v>155</v>
      </c>
      <c r="E66" t="s">
        <v>32</v>
      </c>
      <c r="F66" t="s">
        <v>221</v>
      </c>
      <c r="G66">
        <v>-8000</v>
      </c>
      <c r="H66" t="s">
        <v>153</v>
      </c>
      <c r="I66" t="s">
        <v>64</v>
      </c>
    </row>
    <row r="67" spans="1:9">
      <c r="A67" s="49">
        <v>46095</v>
      </c>
      <c r="B67" s="50">
        <v>0.439525462962963</v>
      </c>
      <c r="C67" t="s">
        <v>155</v>
      </c>
      <c r="D67" t="s">
        <v>155</v>
      </c>
      <c r="E67" t="s">
        <v>32</v>
      </c>
      <c r="F67" t="s">
        <v>222</v>
      </c>
      <c r="G67">
        <v>-30000</v>
      </c>
      <c r="H67" t="s">
        <v>153</v>
      </c>
      <c r="I67" t="s">
        <v>64</v>
      </c>
    </row>
    <row r="68" spans="1:9">
      <c r="A68" s="49">
        <v>46095</v>
      </c>
      <c r="B68" s="50">
        <v>0.4313541666666666</v>
      </c>
      <c r="C68" t="s">
        <v>150</v>
      </c>
      <c r="D68" t="s">
        <v>40</v>
      </c>
      <c r="E68" t="s">
        <v>223</v>
      </c>
      <c r="F68" t="s">
        <v>224</v>
      </c>
      <c r="G68">
        <v>-9000</v>
      </c>
      <c r="H68" t="s">
        <v>153</v>
      </c>
      <c r="I68" t="s">
        <v>164</v>
      </c>
    </row>
    <row r="69" spans="1:9">
      <c r="A69" s="49">
        <v>46095</v>
      </c>
      <c r="B69" s="50">
        <v>0.4137152777777778</v>
      </c>
      <c r="C69" t="s">
        <v>150</v>
      </c>
      <c r="D69" t="s">
        <v>44</v>
      </c>
      <c r="E69" t="s">
        <v>225</v>
      </c>
      <c r="F69" t="s">
        <v>226</v>
      </c>
      <c r="G69">
        <v>-49000</v>
      </c>
      <c r="H69" t="s">
        <v>153</v>
      </c>
      <c r="I69" t="s">
        <v>164</v>
      </c>
    </row>
    <row r="70" spans="1:9">
      <c r="A70" s="49">
        <v>46095</v>
      </c>
      <c r="B70" s="50">
        <v>0.3950925925925926</v>
      </c>
      <c r="C70" t="s">
        <v>150</v>
      </c>
      <c r="D70" t="s">
        <v>44</v>
      </c>
      <c r="E70" t="s">
        <v>162</v>
      </c>
      <c r="F70" t="s">
        <v>163</v>
      </c>
      <c r="G70">
        <v>-3900</v>
      </c>
      <c r="H70" t="s">
        <v>153</v>
      </c>
      <c r="I70" t="s">
        <v>164</v>
      </c>
    </row>
    <row r="71" spans="1:9">
      <c r="A71" s="49">
        <v>46094</v>
      </c>
      <c r="B71" s="50">
        <v>0.8382060185185185</v>
      </c>
      <c r="C71" t="s">
        <v>150</v>
      </c>
      <c r="D71" t="s">
        <v>36</v>
      </c>
      <c r="E71" t="s">
        <v>191</v>
      </c>
      <c r="F71" t="s">
        <v>192</v>
      </c>
      <c r="G71">
        <v>-1975</v>
      </c>
      <c r="H71" t="s">
        <v>153</v>
      </c>
      <c r="I71" t="s">
        <v>157</v>
      </c>
    </row>
    <row r="72" spans="1:9">
      <c r="A72" s="49">
        <v>46094</v>
      </c>
      <c r="B72" s="50">
        <v>0.6604166666666667</v>
      </c>
      <c r="C72" t="s">
        <v>150</v>
      </c>
      <c r="D72" t="s">
        <v>35</v>
      </c>
      <c r="E72" t="s">
        <v>169</v>
      </c>
      <c r="F72" t="s">
        <v>199</v>
      </c>
      <c r="G72">
        <v>-1920</v>
      </c>
      <c r="H72" t="s">
        <v>153</v>
      </c>
      <c r="I72" t="s">
        <v>164</v>
      </c>
    </row>
    <row r="73" spans="1:9">
      <c r="A73" s="49">
        <v>46094</v>
      </c>
      <c r="B73" s="50">
        <v>0.4981944444444444</v>
      </c>
      <c r="C73" t="s">
        <v>155</v>
      </c>
      <c r="D73" t="s">
        <v>155</v>
      </c>
      <c r="E73" t="s">
        <v>32</v>
      </c>
      <c r="F73" t="s">
        <v>227</v>
      </c>
      <c r="G73">
        <v>499000</v>
      </c>
      <c r="H73" t="s">
        <v>153</v>
      </c>
      <c r="I73" t="s">
        <v>67</v>
      </c>
    </row>
    <row r="74" spans="1:9">
      <c r="A74" s="49">
        <v>46094</v>
      </c>
      <c r="B74" s="50">
        <v>0.407662037037037</v>
      </c>
      <c r="C74" t="s">
        <v>155</v>
      </c>
      <c r="D74" t="s">
        <v>158</v>
      </c>
      <c r="E74" t="s">
        <v>32</v>
      </c>
      <c r="F74" t="s">
        <v>7</v>
      </c>
      <c r="G74">
        <v>-5000000</v>
      </c>
      <c r="H74" t="s">
        <v>153</v>
      </c>
      <c r="I74" t="s">
        <v>67</v>
      </c>
    </row>
    <row r="75" spans="1:9">
      <c r="A75" s="49">
        <v>46094</v>
      </c>
      <c r="B75" s="50">
        <v>0.4074768518518518</v>
      </c>
      <c r="C75" t="s">
        <v>155</v>
      </c>
      <c r="D75" t="s">
        <v>158</v>
      </c>
      <c r="E75" t="s">
        <v>32</v>
      </c>
      <c r="F75" t="s">
        <v>7</v>
      </c>
      <c r="G75">
        <v>-5000000</v>
      </c>
      <c r="H75" t="s">
        <v>153</v>
      </c>
      <c r="I75" t="s">
        <v>64</v>
      </c>
    </row>
    <row r="76" spans="1:9">
      <c r="A76" s="49">
        <v>46093</v>
      </c>
      <c r="B76" s="50">
        <v>0.8725925925925926</v>
      </c>
      <c r="C76" t="s">
        <v>150</v>
      </c>
      <c r="D76" t="s">
        <v>44</v>
      </c>
      <c r="E76" t="s">
        <v>225</v>
      </c>
      <c r="F76" t="s">
        <v>228</v>
      </c>
      <c r="G76">
        <v>-16032</v>
      </c>
      <c r="H76" t="s">
        <v>153</v>
      </c>
      <c r="I76" t="s">
        <v>154</v>
      </c>
    </row>
    <row r="77" spans="1:9">
      <c r="A77" s="49">
        <v>46093</v>
      </c>
      <c r="B77" s="50">
        <v>0.819375</v>
      </c>
      <c r="C77" t="s">
        <v>155</v>
      </c>
      <c r="D77" t="s">
        <v>229</v>
      </c>
      <c r="E77" t="s">
        <v>32</v>
      </c>
      <c r="F77" t="s">
        <v>230</v>
      </c>
      <c r="G77">
        <v>499000</v>
      </c>
      <c r="H77" t="s">
        <v>153</v>
      </c>
      <c r="I77" t="s">
        <v>67</v>
      </c>
    </row>
    <row r="78" spans="1:9">
      <c r="A78" s="49">
        <v>46093</v>
      </c>
      <c r="B78" s="50">
        <v>0.7542939814814815</v>
      </c>
      <c r="C78" t="s">
        <v>155</v>
      </c>
      <c r="D78" t="s">
        <v>155</v>
      </c>
      <c r="E78" t="s">
        <v>32</v>
      </c>
      <c r="F78" t="s">
        <v>231</v>
      </c>
      <c r="G78">
        <v>499000</v>
      </c>
      <c r="H78" t="s">
        <v>153</v>
      </c>
      <c r="I78" t="s">
        <v>67</v>
      </c>
    </row>
    <row r="79" spans="1:9">
      <c r="A79" s="49">
        <v>46093</v>
      </c>
      <c r="B79" s="50">
        <v>0.7367476851851852</v>
      </c>
      <c r="C79" t="s">
        <v>150</v>
      </c>
      <c r="D79" t="s">
        <v>35</v>
      </c>
      <c r="E79" t="s">
        <v>169</v>
      </c>
      <c r="F79" t="s">
        <v>199</v>
      </c>
      <c r="G79">
        <v>-2640</v>
      </c>
      <c r="H79" t="s">
        <v>153</v>
      </c>
      <c r="I79" t="s">
        <v>164</v>
      </c>
    </row>
    <row r="80" spans="1:9">
      <c r="A80" s="49">
        <v>46093</v>
      </c>
      <c r="B80" s="50">
        <v>0.6925810185185185</v>
      </c>
      <c r="C80" t="s">
        <v>150</v>
      </c>
      <c r="D80" t="s">
        <v>35</v>
      </c>
      <c r="E80" t="s">
        <v>169</v>
      </c>
      <c r="F80" t="s">
        <v>199</v>
      </c>
      <c r="G80">
        <v>-1740</v>
      </c>
      <c r="H80" t="s">
        <v>153</v>
      </c>
      <c r="I80" t="s">
        <v>164</v>
      </c>
    </row>
    <row r="81" spans="1:9">
      <c r="A81" s="49">
        <v>46093</v>
      </c>
      <c r="B81" s="50">
        <v>0.6791087962962963</v>
      </c>
      <c r="C81" t="s">
        <v>155</v>
      </c>
      <c r="D81" t="s">
        <v>155</v>
      </c>
      <c r="E81" t="s">
        <v>32</v>
      </c>
      <c r="F81" t="s">
        <v>232</v>
      </c>
      <c r="G81">
        <v>499000</v>
      </c>
      <c r="H81" t="s">
        <v>153</v>
      </c>
      <c r="I81" t="s">
        <v>67</v>
      </c>
    </row>
    <row r="82" spans="1:9">
      <c r="A82" s="49">
        <v>46092</v>
      </c>
      <c r="B82" s="50">
        <v>0.9614699074074075</v>
      </c>
      <c r="C82" t="s">
        <v>155</v>
      </c>
      <c r="D82" t="s">
        <v>155</v>
      </c>
      <c r="E82" t="s">
        <v>32</v>
      </c>
      <c r="F82" t="s">
        <v>233</v>
      </c>
      <c r="G82">
        <v>499000</v>
      </c>
      <c r="H82" t="s">
        <v>153</v>
      </c>
      <c r="I82" t="s">
        <v>67</v>
      </c>
    </row>
    <row r="83" spans="1:9">
      <c r="A83" s="49">
        <v>46092</v>
      </c>
      <c r="B83" s="50">
        <v>0.8203587962962963</v>
      </c>
      <c r="C83" t="s">
        <v>155</v>
      </c>
      <c r="D83" t="s">
        <v>155</v>
      </c>
      <c r="E83" t="s">
        <v>32</v>
      </c>
      <c r="F83" t="s">
        <v>234</v>
      </c>
      <c r="G83">
        <v>499000</v>
      </c>
      <c r="H83" t="s">
        <v>153</v>
      </c>
      <c r="I83" t="s">
        <v>67</v>
      </c>
    </row>
    <row r="84" spans="1:9">
      <c r="A84" s="49">
        <v>46092</v>
      </c>
      <c r="B84" s="50">
        <v>0.4736574074074074</v>
      </c>
      <c r="C84" t="s">
        <v>155</v>
      </c>
      <c r="D84" t="s">
        <v>155</v>
      </c>
      <c r="E84" t="s">
        <v>32</v>
      </c>
      <c r="F84" t="s">
        <v>156</v>
      </c>
      <c r="G84">
        <v>-100000</v>
      </c>
      <c r="H84" t="s">
        <v>153</v>
      </c>
      <c r="I84" t="s">
        <v>157</v>
      </c>
    </row>
    <row r="85" spans="1:9">
      <c r="A85" s="49">
        <v>46092</v>
      </c>
      <c r="B85" s="50">
        <v>0.4703819444444444</v>
      </c>
      <c r="C85" t="s">
        <v>155</v>
      </c>
      <c r="D85" t="s">
        <v>155</v>
      </c>
      <c r="E85" t="s">
        <v>32</v>
      </c>
      <c r="F85" t="s">
        <v>156</v>
      </c>
      <c r="G85">
        <v>290100</v>
      </c>
      <c r="H85" t="s">
        <v>153</v>
      </c>
      <c r="I85" t="s">
        <v>157</v>
      </c>
    </row>
    <row r="86" spans="1:9">
      <c r="A86" s="49">
        <v>46092</v>
      </c>
      <c r="B86" s="50">
        <v>0.4617361111111111</v>
      </c>
      <c r="C86" t="s">
        <v>155</v>
      </c>
      <c r="D86" t="s">
        <v>158</v>
      </c>
      <c r="E86" t="s">
        <v>32</v>
      </c>
      <c r="F86" t="s">
        <v>7</v>
      </c>
      <c r="G86">
        <v>500000</v>
      </c>
      <c r="H86" t="s">
        <v>153</v>
      </c>
      <c r="I86" t="s">
        <v>64</v>
      </c>
    </row>
    <row r="87" spans="1:9">
      <c r="A87" s="49">
        <v>46092</v>
      </c>
      <c r="B87" s="50">
        <v>0.4610185185185185</v>
      </c>
      <c r="C87" t="s">
        <v>155</v>
      </c>
      <c r="D87" t="s">
        <v>155</v>
      </c>
      <c r="E87" t="s">
        <v>32</v>
      </c>
      <c r="F87" t="s">
        <v>160</v>
      </c>
      <c r="G87">
        <v>-500000</v>
      </c>
      <c r="H87" t="s">
        <v>153</v>
      </c>
      <c r="I87" t="s">
        <v>64</v>
      </c>
    </row>
    <row r="88" spans="1:9">
      <c r="A88" s="49">
        <v>46092</v>
      </c>
      <c r="B88" s="50">
        <v>0.4609606481481481</v>
      </c>
      <c r="C88" t="s">
        <v>155</v>
      </c>
      <c r="D88" t="s">
        <v>155</v>
      </c>
      <c r="E88" t="s">
        <v>32</v>
      </c>
      <c r="F88" t="s">
        <v>235</v>
      </c>
      <c r="G88">
        <v>1571868</v>
      </c>
      <c r="H88" t="s">
        <v>153</v>
      </c>
      <c r="I88" t="s">
        <v>64</v>
      </c>
    </row>
    <row r="89" spans="1:9">
      <c r="A89" s="49">
        <v>46092</v>
      </c>
      <c r="B89" s="50">
        <v>0.4510069444444444</v>
      </c>
      <c r="C89" t="s">
        <v>155</v>
      </c>
      <c r="D89" t="s">
        <v>155</v>
      </c>
      <c r="E89" t="s">
        <v>32</v>
      </c>
      <c r="F89" t="s">
        <v>236</v>
      </c>
      <c r="G89">
        <v>-100000</v>
      </c>
      <c r="H89" t="s">
        <v>153</v>
      </c>
      <c r="I89" t="s">
        <v>157</v>
      </c>
    </row>
    <row r="90" spans="1:9">
      <c r="A90" s="49">
        <v>46092</v>
      </c>
      <c r="B90" s="50">
        <v>0.4509953703703704</v>
      </c>
      <c r="C90" t="s">
        <v>155</v>
      </c>
      <c r="D90" t="s">
        <v>158</v>
      </c>
      <c r="E90" t="s">
        <v>32</v>
      </c>
      <c r="F90" t="s">
        <v>159</v>
      </c>
      <c r="G90">
        <v>92099</v>
      </c>
      <c r="H90" t="s">
        <v>153</v>
      </c>
      <c r="I90" t="s">
        <v>157</v>
      </c>
    </row>
    <row r="91" spans="1:9">
      <c r="A91" s="49">
        <v>46092</v>
      </c>
      <c r="B91" s="50">
        <v>0.4509953703703704</v>
      </c>
      <c r="C91" t="s">
        <v>155</v>
      </c>
      <c r="D91" t="s">
        <v>158</v>
      </c>
      <c r="E91" t="s">
        <v>32</v>
      </c>
      <c r="F91" t="s">
        <v>160</v>
      </c>
      <c r="G91">
        <v>-92099</v>
      </c>
      <c r="H91" t="s">
        <v>153</v>
      </c>
      <c r="I91" t="s">
        <v>64</v>
      </c>
    </row>
    <row r="92" spans="1:9">
      <c r="A92" s="49">
        <v>46091</v>
      </c>
      <c r="B92" s="50">
        <v>0.9594097222222222</v>
      </c>
      <c r="C92" t="s">
        <v>155</v>
      </c>
      <c r="D92" t="s">
        <v>155</v>
      </c>
      <c r="E92" t="s">
        <v>32</v>
      </c>
      <c r="F92" t="s">
        <v>237</v>
      </c>
      <c r="G92">
        <v>499000</v>
      </c>
      <c r="H92" t="s">
        <v>153</v>
      </c>
      <c r="I92" t="s">
        <v>67</v>
      </c>
    </row>
    <row r="93" spans="1:9">
      <c r="A93" s="49">
        <v>46091</v>
      </c>
      <c r="B93" s="50">
        <v>0.7661342592592593</v>
      </c>
      <c r="C93" t="s">
        <v>150</v>
      </c>
      <c r="D93" t="s">
        <v>35</v>
      </c>
      <c r="E93" t="s">
        <v>169</v>
      </c>
      <c r="F93" t="s">
        <v>238</v>
      </c>
      <c r="G93">
        <v>-4800</v>
      </c>
      <c r="H93" t="s">
        <v>153</v>
      </c>
      <c r="I93" t="s">
        <v>67</v>
      </c>
    </row>
    <row r="94" spans="1:9">
      <c r="A94" s="49">
        <v>46091</v>
      </c>
      <c r="B94" s="50">
        <v>0.7095949074074074</v>
      </c>
      <c r="C94" t="s">
        <v>155</v>
      </c>
      <c r="D94" t="s">
        <v>155</v>
      </c>
      <c r="E94" t="s">
        <v>32</v>
      </c>
      <c r="F94" t="s">
        <v>239</v>
      </c>
      <c r="G94">
        <v>499000</v>
      </c>
      <c r="H94" t="s">
        <v>153</v>
      </c>
      <c r="I94" t="s">
        <v>67</v>
      </c>
    </row>
    <row r="95" spans="1:9">
      <c r="A95" s="49">
        <v>46091</v>
      </c>
      <c r="B95" s="50">
        <v>0.6929282407407408</v>
      </c>
      <c r="C95" t="s">
        <v>155</v>
      </c>
      <c r="D95" t="s">
        <v>155</v>
      </c>
      <c r="E95" t="s">
        <v>32</v>
      </c>
      <c r="F95" t="s">
        <v>240</v>
      </c>
      <c r="G95">
        <v>349000</v>
      </c>
      <c r="H95" t="s">
        <v>153</v>
      </c>
      <c r="I95" t="s">
        <v>67</v>
      </c>
    </row>
    <row r="96" spans="1:9">
      <c r="A96" s="49">
        <v>46091</v>
      </c>
      <c r="B96" s="50">
        <v>0.4890393518518519</v>
      </c>
      <c r="C96" t="s">
        <v>155</v>
      </c>
      <c r="D96" t="s">
        <v>241</v>
      </c>
      <c r="E96" t="s">
        <v>32</v>
      </c>
      <c r="F96" t="s">
        <v>242</v>
      </c>
      <c r="G96">
        <v>6132</v>
      </c>
      <c r="H96" t="s">
        <v>153</v>
      </c>
      <c r="I96" t="s">
        <v>67</v>
      </c>
    </row>
    <row r="97" spans="1:9">
      <c r="A97" s="49">
        <v>46091</v>
      </c>
      <c r="B97" s="50">
        <v>0.4719212962962963</v>
      </c>
      <c r="C97" t="s">
        <v>167</v>
      </c>
      <c r="D97" t="s">
        <v>28</v>
      </c>
      <c r="E97" t="s">
        <v>32</v>
      </c>
      <c r="F97" t="s">
        <v>243</v>
      </c>
      <c r="G97">
        <v>350</v>
      </c>
      <c r="H97" t="s">
        <v>153</v>
      </c>
      <c r="I97" t="s">
        <v>64</v>
      </c>
    </row>
    <row r="98" spans="1:9">
      <c r="A98" s="49">
        <v>46091</v>
      </c>
      <c r="B98" s="50">
        <v>0.1145833333333333</v>
      </c>
      <c r="C98" t="s">
        <v>150</v>
      </c>
      <c r="D98" t="s">
        <v>42</v>
      </c>
      <c r="E98" t="s">
        <v>212</v>
      </c>
      <c r="F98" t="s">
        <v>213</v>
      </c>
      <c r="G98">
        <v>-10000</v>
      </c>
      <c r="H98" t="s">
        <v>153</v>
      </c>
      <c r="I98" t="s">
        <v>214</v>
      </c>
    </row>
    <row r="99" spans="1:9">
      <c r="A99" s="49">
        <v>46091</v>
      </c>
      <c r="B99" s="50">
        <v>0.07077546296296296</v>
      </c>
      <c r="C99" t="s">
        <v>150</v>
      </c>
      <c r="D99" t="s">
        <v>42</v>
      </c>
      <c r="E99" t="s">
        <v>212</v>
      </c>
      <c r="F99" t="s">
        <v>213</v>
      </c>
      <c r="G99">
        <v>10000</v>
      </c>
      <c r="H99" t="s">
        <v>153</v>
      </c>
      <c r="I99" t="s">
        <v>214</v>
      </c>
    </row>
    <row r="100" spans="1:9">
      <c r="A100" s="49">
        <v>46091</v>
      </c>
      <c r="B100" s="50">
        <v>0.05737268518518519</v>
      </c>
      <c r="C100" t="s">
        <v>150</v>
      </c>
      <c r="D100" t="s">
        <v>42</v>
      </c>
      <c r="E100" t="s">
        <v>212</v>
      </c>
      <c r="F100" t="s">
        <v>213</v>
      </c>
      <c r="G100">
        <v>-10000</v>
      </c>
      <c r="H100" t="s">
        <v>153</v>
      </c>
      <c r="I100" t="s">
        <v>214</v>
      </c>
    </row>
    <row r="101" spans="1:9">
      <c r="A101" s="49">
        <v>46091</v>
      </c>
      <c r="B101" s="50">
        <v>0.02813657407407407</v>
      </c>
      <c r="C101" t="s">
        <v>150</v>
      </c>
      <c r="D101" t="s">
        <v>42</v>
      </c>
      <c r="E101" t="s">
        <v>212</v>
      </c>
      <c r="F101" t="s">
        <v>213</v>
      </c>
      <c r="G101">
        <v>100</v>
      </c>
      <c r="H101" t="s">
        <v>153</v>
      </c>
      <c r="I101" t="s">
        <v>214</v>
      </c>
    </row>
    <row r="102" spans="1:9">
      <c r="A102" s="49">
        <v>46091</v>
      </c>
      <c r="B102" s="50">
        <v>0.028125</v>
      </c>
      <c r="C102" t="s">
        <v>150</v>
      </c>
      <c r="D102" t="s">
        <v>42</v>
      </c>
      <c r="E102" t="s">
        <v>212</v>
      </c>
      <c r="F102" t="s">
        <v>213</v>
      </c>
      <c r="G102">
        <v>-100</v>
      </c>
      <c r="H102" t="s">
        <v>153</v>
      </c>
      <c r="I102" t="s">
        <v>214</v>
      </c>
    </row>
    <row r="103" spans="1:9">
      <c r="A103" s="49">
        <v>46091</v>
      </c>
      <c r="B103" s="50">
        <v>0.02710648148148148</v>
      </c>
      <c r="C103" t="s">
        <v>150</v>
      </c>
      <c r="D103" t="s">
        <v>42</v>
      </c>
      <c r="E103" t="s">
        <v>212</v>
      </c>
      <c r="F103" t="s">
        <v>213</v>
      </c>
      <c r="G103">
        <v>53000</v>
      </c>
      <c r="H103" t="s">
        <v>153</v>
      </c>
      <c r="I103" t="s">
        <v>214</v>
      </c>
    </row>
    <row r="104" spans="1:9">
      <c r="A104" s="49">
        <v>46091</v>
      </c>
      <c r="B104" s="50">
        <v>0.0225</v>
      </c>
      <c r="C104" t="s">
        <v>150</v>
      </c>
      <c r="D104" t="s">
        <v>42</v>
      </c>
      <c r="E104" t="s">
        <v>212</v>
      </c>
      <c r="F104" t="s">
        <v>213</v>
      </c>
      <c r="G104">
        <v>-53000</v>
      </c>
      <c r="H104" t="s">
        <v>153</v>
      </c>
      <c r="I104" t="s">
        <v>214</v>
      </c>
    </row>
    <row r="105" spans="1:9">
      <c r="A105" s="49">
        <v>46090</v>
      </c>
      <c r="B105" s="50">
        <v>0.9743055555555555</v>
      </c>
      <c r="C105" t="s">
        <v>155</v>
      </c>
      <c r="D105" t="s">
        <v>155</v>
      </c>
      <c r="E105" t="s">
        <v>32</v>
      </c>
      <c r="F105" t="s">
        <v>244</v>
      </c>
      <c r="G105">
        <v>499000</v>
      </c>
      <c r="H105" t="s">
        <v>153</v>
      </c>
      <c r="I105" t="s">
        <v>67</v>
      </c>
    </row>
    <row r="106" spans="1:9">
      <c r="A106" s="49">
        <v>46090</v>
      </c>
      <c r="B106" s="50">
        <v>0.9393865740740741</v>
      </c>
      <c r="C106" t="s">
        <v>155</v>
      </c>
      <c r="D106" t="s">
        <v>155</v>
      </c>
      <c r="E106" t="s">
        <v>32</v>
      </c>
      <c r="F106" t="s">
        <v>245</v>
      </c>
      <c r="G106">
        <v>499000</v>
      </c>
      <c r="H106" t="s">
        <v>153</v>
      </c>
      <c r="I106" t="s">
        <v>67</v>
      </c>
    </row>
    <row r="107" spans="1:9">
      <c r="A107" s="49">
        <v>46090</v>
      </c>
      <c r="B107" s="50">
        <v>0.8749537037037037</v>
      </c>
      <c r="C107" t="s">
        <v>155</v>
      </c>
      <c r="D107" t="s">
        <v>155</v>
      </c>
      <c r="E107" t="s">
        <v>32</v>
      </c>
      <c r="F107" t="s">
        <v>246</v>
      </c>
      <c r="G107">
        <v>-100000</v>
      </c>
      <c r="H107" t="s">
        <v>153</v>
      </c>
      <c r="I107" t="s">
        <v>64</v>
      </c>
    </row>
    <row r="108" spans="1:9">
      <c r="A108" s="49">
        <v>46090</v>
      </c>
      <c r="B108" s="50">
        <v>0.7951967592592593</v>
      </c>
      <c r="C108" t="s">
        <v>155</v>
      </c>
      <c r="D108" t="s">
        <v>155</v>
      </c>
      <c r="E108" t="s">
        <v>32</v>
      </c>
      <c r="F108" t="s">
        <v>247</v>
      </c>
      <c r="G108">
        <v>499000</v>
      </c>
      <c r="H108" t="s">
        <v>153</v>
      </c>
      <c r="I108" t="s">
        <v>67</v>
      </c>
    </row>
    <row r="109" spans="1:9">
      <c r="A109" s="49">
        <v>46090</v>
      </c>
      <c r="B109" s="50">
        <v>0.7032754629629629</v>
      </c>
      <c r="C109" t="s">
        <v>155</v>
      </c>
      <c r="D109" t="s">
        <v>155</v>
      </c>
      <c r="E109" t="s">
        <v>32</v>
      </c>
      <c r="F109" t="s">
        <v>248</v>
      </c>
      <c r="G109">
        <v>499000</v>
      </c>
      <c r="H109" t="s">
        <v>153</v>
      </c>
      <c r="I109" t="s">
        <v>67</v>
      </c>
    </row>
    <row r="110" spans="1:9">
      <c r="A110" s="49">
        <v>46090</v>
      </c>
      <c r="B110" s="50">
        <v>0.663125</v>
      </c>
      <c r="C110" t="s">
        <v>150</v>
      </c>
      <c r="D110" t="s">
        <v>44</v>
      </c>
      <c r="E110" t="s">
        <v>162</v>
      </c>
      <c r="F110" t="s">
        <v>166</v>
      </c>
      <c r="G110">
        <v>-13890</v>
      </c>
      <c r="H110" t="s">
        <v>153</v>
      </c>
      <c r="I110" t="s">
        <v>154</v>
      </c>
    </row>
    <row r="111" spans="1:9">
      <c r="A111" s="49">
        <v>46090</v>
      </c>
      <c r="B111" s="50">
        <v>0.6228587962962963</v>
      </c>
      <c r="C111" t="s">
        <v>155</v>
      </c>
      <c r="D111" t="s">
        <v>158</v>
      </c>
      <c r="E111" t="s">
        <v>32</v>
      </c>
      <c r="F111" t="s">
        <v>7</v>
      </c>
      <c r="G111">
        <v>-5000000</v>
      </c>
      <c r="H111" t="s">
        <v>153</v>
      </c>
      <c r="I111" t="s">
        <v>64</v>
      </c>
    </row>
    <row r="112" spans="1:9">
      <c r="A112" s="49">
        <v>46090</v>
      </c>
      <c r="B112" s="50">
        <v>0.3823148148148148</v>
      </c>
      <c r="C112" t="s">
        <v>150</v>
      </c>
      <c r="D112" t="s">
        <v>44</v>
      </c>
      <c r="E112" t="s">
        <v>225</v>
      </c>
      <c r="F112" t="s">
        <v>249</v>
      </c>
      <c r="G112">
        <v>-167938</v>
      </c>
      <c r="H112" t="s">
        <v>153</v>
      </c>
      <c r="I112" t="s">
        <v>154</v>
      </c>
    </row>
    <row r="113" spans="1:9">
      <c r="A113" s="49">
        <v>46089</v>
      </c>
      <c r="B113" s="50">
        <v>0.6987384259259259</v>
      </c>
      <c r="C113" t="s">
        <v>150</v>
      </c>
      <c r="D113" t="s">
        <v>44</v>
      </c>
      <c r="E113" t="s">
        <v>162</v>
      </c>
      <c r="F113" t="s">
        <v>166</v>
      </c>
      <c r="G113">
        <v>-8890</v>
      </c>
      <c r="H113" t="s">
        <v>153</v>
      </c>
      <c r="I113" t="s">
        <v>154</v>
      </c>
    </row>
    <row r="114" spans="1:9">
      <c r="A114" s="49">
        <v>46089</v>
      </c>
      <c r="B114" s="50">
        <v>0.6321180555555556</v>
      </c>
      <c r="C114" t="s">
        <v>155</v>
      </c>
      <c r="D114" t="s">
        <v>155</v>
      </c>
      <c r="E114" t="s">
        <v>32</v>
      </c>
      <c r="F114" t="s">
        <v>250</v>
      </c>
      <c r="G114">
        <v>499000</v>
      </c>
      <c r="H114" t="s">
        <v>153</v>
      </c>
      <c r="I114" t="s">
        <v>67</v>
      </c>
    </row>
    <row r="115" spans="1:9">
      <c r="A115" s="49">
        <v>46089</v>
      </c>
      <c r="B115" s="50">
        <v>0.2813773148148148</v>
      </c>
      <c r="C115" t="s">
        <v>155</v>
      </c>
      <c r="D115" t="s">
        <v>158</v>
      </c>
      <c r="E115" t="s">
        <v>32</v>
      </c>
      <c r="F115" t="s">
        <v>160</v>
      </c>
      <c r="G115">
        <v>-10000</v>
      </c>
      <c r="H115" t="s">
        <v>153</v>
      </c>
      <c r="I115" t="s">
        <v>64</v>
      </c>
    </row>
    <row r="116" spans="1:9">
      <c r="A116" s="49">
        <v>46089</v>
      </c>
      <c r="B116" s="50">
        <v>0.2813657407407407</v>
      </c>
      <c r="C116" t="s">
        <v>150</v>
      </c>
      <c r="D116" t="s">
        <v>35</v>
      </c>
      <c r="E116" t="s">
        <v>169</v>
      </c>
      <c r="F116" t="s">
        <v>199</v>
      </c>
      <c r="G116">
        <v>-2100</v>
      </c>
      <c r="H116" t="s">
        <v>153</v>
      </c>
      <c r="I116" t="s">
        <v>164</v>
      </c>
    </row>
    <row r="117" spans="1:9">
      <c r="A117" s="49">
        <v>46089</v>
      </c>
      <c r="B117" s="50">
        <v>0.2813657407407407</v>
      </c>
      <c r="C117" t="s">
        <v>155</v>
      </c>
      <c r="D117" t="s">
        <v>158</v>
      </c>
      <c r="E117" t="s">
        <v>32</v>
      </c>
      <c r="F117" t="s">
        <v>159</v>
      </c>
      <c r="G117">
        <v>10000</v>
      </c>
      <c r="H117" t="s">
        <v>153</v>
      </c>
      <c r="I117" t="s">
        <v>157</v>
      </c>
    </row>
    <row r="118" spans="1:9">
      <c r="A118" s="49">
        <v>46089</v>
      </c>
      <c r="B118" s="50">
        <v>0.1001388888888889</v>
      </c>
      <c r="C118" t="s">
        <v>150</v>
      </c>
      <c r="D118" t="s">
        <v>40</v>
      </c>
      <c r="E118" t="s">
        <v>251</v>
      </c>
      <c r="F118" t="s">
        <v>252</v>
      </c>
      <c r="G118">
        <v>-42969</v>
      </c>
      <c r="H118" t="s">
        <v>153</v>
      </c>
      <c r="I118" t="s">
        <v>164</v>
      </c>
    </row>
    <row r="119" spans="1:9">
      <c r="A119" s="49">
        <v>46089</v>
      </c>
      <c r="B119" s="50">
        <v>0.1000810185185185</v>
      </c>
      <c r="C119" t="s">
        <v>155</v>
      </c>
      <c r="D119" t="s">
        <v>155</v>
      </c>
      <c r="E119" t="s">
        <v>32</v>
      </c>
      <c r="F119" t="s">
        <v>160</v>
      </c>
      <c r="G119">
        <v>-36789</v>
      </c>
      <c r="H119" t="s">
        <v>153</v>
      </c>
      <c r="I119" t="s">
        <v>64</v>
      </c>
    </row>
    <row r="120" spans="1:9">
      <c r="A120" s="49">
        <v>46088</v>
      </c>
      <c r="B120" s="50">
        <v>0.869525462962963</v>
      </c>
      <c r="C120" t="s">
        <v>150</v>
      </c>
      <c r="D120" t="s">
        <v>44</v>
      </c>
      <c r="E120" t="s">
        <v>162</v>
      </c>
      <c r="F120" t="s">
        <v>166</v>
      </c>
      <c r="G120">
        <v>-13890</v>
      </c>
      <c r="H120" t="s">
        <v>153</v>
      </c>
      <c r="I120" t="s">
        <v>154</v>
      </c>
    </row>
    <row r="121" spans="1:9">
      <c r="A121" s="49">
        <v>46088</v>
      </c>
      <c r="B121" s="50">
        <v>0.8686111111111111</v>
      </c>
      <c r="C121" t="s">
        <v>155</v>
      </c>
      <c r="D121" t="s">
        <v>155</v>
      </c>
      <c r="E121" t="s">
        <v>32</v>
      </c>
      <c r="F121" t="s">
        <v>253</v>
      </c>
      <c r="G121">
        <v>499000</v>
      </c>
      <c r="H121" t="s">
        <v>153</v>
      </c>
      <c r="I121" t="s">
        <v>67</v>
      </c>
    </row>
    <row r="122" spans="1:9">
      <c r="A122" s="49">
        <v>46088</v>
      </c>
      <c r="B122" s="50">
        <v>0.7911342592592593</v>
      </c>
      <c r="C122" t="s">
        <v>155</v>
      </c>
      <c r="D122" t="s">
        <v>155</v>
      </c>
      <c r="E122" t="s">
        <v>32</v>
      </c>
      <c r="F122" t="s">
        <v>254</v>
      </c>
      <c r="G122">
        <v>499000</v>
      </c>
      <c r="H122" t="s">
        <v>153</v>
      </c>
      <c r="I122" t="s">
        <v>67</v>
      </c>
    </row>
    <row r="123" spans="1:9">
      <c r="A123" s="49">
        <v>46088</v>
      </c>
      <c r="B123" s="50">
        <v>0.5316550925925926</v>
      </c>
      <c r="C123" t="s">
        <v>150</v>
      </c>
      <c r="D123" t="s">
        <v>44</v>
      </c>
      <c r="E123" t="s">
        <v>162</v>
      </c>
      <c r="F123" t="s">
        <v>255</v>
      </c>
      <c r="G123">
        <v>-2500</v>
      </c>
      <c r="H123" t="s">
        <v>153</v>
      </c>
      <c r="I123" t="s">
        <v>154</v>
      </c>
    </row>
    <row r="124" spans="1:9">
      <c r="A124" s="49">
        <v>46088</v>
      </c>
      <c r="B124" s="50">
        <v>0.3216898148148148</v>
      </c>
      <c r="C124" t="s">
        <v>155</v>
      </c>
      <c r="D124" t="s">
        <v>158</v>
      </c>
      <c r="E124" t="s">
        <v>32</v>
      </c>
      <c r="F124" t="s">
        <v>7</v>
      </c>
      <c r="G124">
        <v>-5000000</v>
      </c>
      <c r="H124" t="s">
        <v>153</v>
      </c>
      <c r="I124" t="s">
        <v>67</v>
      </c>
    </row>
    <row r="125" spans="1:9">
      <c r="A125" s="49">
        <v>46087</v>
      </c>
      <c r="B125" s="50">
        <v>0.8538310185185185</v>
      </c>
      <c r="C125" t="s">
        <v>155</v>
      </c>
      <c r="D125" t="s">
        <v>155</v>
      </c>
      <c r="E125" t="s">
        <v>32</v>
      </c>
      <c r="F125" t="s">
        <v>256</v>
      </c>
      <c r="G125">
        <v>499000</v>
      </c>
      <c r="H125" t="s">
        <v>153</v>
      </c>
      <c r="I125" t="s">
        <v>67</v>
      </c>
    </row>
    <row r="126" spans="1:9">
      <c r="A126" s="49">
        <v>46087</v>
      </c>
      <c r="B126" s="50">
        <v>0.7723148148148148</v>
      </c>
      <c r="C126" t="s">
        <v>155</v>
      </c>
      <c r="D126" t="s">
        <v>155</v>
      </c>
      <c r="E126" t="s">
        <v>32</v>
      </c>
      <c r="F126" t="s">
        <v>257</v>
      </c>
      <c r="G126">
        <v>349000</v>
      </c>
      <c r="H126" t="s">
        <v>153</v>
      </c>
      <c r="I126" t="s">
        <v>67</v>
      </c>
    </row>
    <row r="127" spans="1:9">
      <c r="A127" s="49">
        <v>46087</v>
      </c>
      <c r="B127" s="50">
        <v>0.5862847222222223</v>
      </c>
      <c r="C127" t="s">
        <v>150</v>
      </c>
      <c r="D127" t="s">
        <v>35</v>
      </c>
      <c r="E127" t="s">
        <v>169</v>
      </c>
      <c r="F127" t="s">
        <v>199</v>
      </c>
      <c r="G127">
        <v>-1920</v>
      </c>
      <c r="H127" t="s">
        <v>153</v>
      </c>
      <c r="I127" t="s">
        <v>164</v>
      </c>
    </row>
    <row r="128" spans="1:9">
      <c r="A128" s="49">
        <v>46087</v>
      </c>
      <c r="B128" s="50">
        <v>0.5573263888888889</v>
      </c>
      <c r="C128" t="s">
        <v>155</v>
      </c>
      <c r="D128" t="s">
        <v>155</v>
      </c>
      <c r="E128" t="s">
        <v>32</v>
      </c>
      <c r="F128" t="s">
        <v>258</v>
      </c>
      <c r="G128">
        <v>499000</v>
      </c>
      <c r="H128" t="s">
        <v>153</v>
      </c>
      <c r="I128" t="s">
        <v>67</v>
      </c>
    </row>
    <row r="129" spans="1:9">
      <c r="A129" s="49">
        <v>46087</v>
      </c>
      <c r="B129" s="50">
        <v>0.5063310185185185</v>
      </c>
      <c r="C129" t="s">
        <v>155</v>
      </c>
      <c r="D129" t="s">
        <v>155</v>
      </c>
      <c r="E129" t="s">
        <v>32</v>
      </c>
      <c r="F129" t="s">
        <v>259</v>
      </c>
      <c r="G129">
        <v>499000</v>
      </c>
      <c r="H129" t="s">
        <v>153</v>
      </c>
      <c r="I129" t="s">
        <v>67</v>
      </c>
    </row>
    <row r="130" spans="1:9">
      <c r="A130" s="49">
        <v>46086</v>
      </c>
      <c r="B130" s="50">
        <v>0.4371527777777778</v>
      </c>
      <c r="C130" t="s">
        <v>150</v>
      </c>
      <c r="D130" t="s">
        <v>44</v>
      </c>
      <c r="E130" t="s">
        <v>260</v>
      </c>
      <c r="F130" t="s">
        <v>261</v>
      </c>
      <c r="G130">
        <v>-20000</v>
      </c>
      <c r="H130" t="s">
        <v>153</v>
      </c>
      <c r="I130" t="s">
        <v>64</v>
      </c>
    </row>
    <row r="131" spans="1:9">
      <c r="A131" s="49">
        <v>46086</v>
      </c>
      <c r="B131" s="50">
        <v>0.405462962962963</v>
      </c>
      <c r="C131" t="s">
        <v>150</v>
      </c>
      <c r="D131" t="s">
        <v>44</v>
      </c>
      <c r="E131" t="s">
        <v>260</v>
      </c>
      <c r="F131" t="s">
        <v>261</v>
      </c>
      <c r="G131">
        <v>-10000</v>
      </c>
      <c r="H131" t="s">
        <v>153</v>
      </c>
      <c r="I131" t="s">
        <v>64</v>
      </c>
    </row>
    <row r="132" spans="1:9">
      <c r="A132" s="49">
        <v>46086</v>
      </c>
      <c r="B132" s="50">
        <v>0.3953125</v>
      </c>
      <c r="C132" t="s">
        <v>150</v>
      </c>
      <c r="D132" t="s">
        <v>44</v>
      </c>
      <c r="E132" t="s">
        <v>162</v>
      </c>
      <c r="F132" t="s">
        <v>163</v>
      </c>
      <c r="G132">
        <v>-1900</v>
      </c>
      <c r="H132" t="s">
        <v>153</v>
      </c>
      <c r="I132" t="s">
        <v>164</v>
      </c>
    </row>
    <row r="133" spans="1:9">
      <c r="A133" s="49">
        <v>46086</v>
      </c>
      <c r="B133" s="50">
        <v>0.3953125</v>
      </c>
      <c r="C133" t="s">
        <v>155</v>
      </c>
      <c r="D133" t="s">
        <v>158</v>
      </c>
      <c r="E133" t="s">
        <v>32</v>
      </c>
      <c r="F133" t="s">
        <v>159</v>
      </c>
      <c r="G133">
        <v>10000</v>
      </c>
      <c r="H133" t="s">
        <v>153</v>
      </c>
      <c r="I133" t="s">
        <v>157</v>
      </c>
    </row>
    <row r="134" spans="1:9">
      <c r="A134" s="49">
        <v>46086</v>
      </c>
      <c r="B134" s="50">
        <v>0.3953125</v>
      </c>
      <c r="C134" t="s">
        <v>155</v>
      </c>
      <c r="D134" t="s">
        <v>158</v>
      </c>
      <c r="E134" t="s">
        <v>32</v>
      </c>
      <c r="F134" t="s">
        <v>160</v>
      </c>
      <c r="G134">
        <v>-10000</v>
      </c>
      <c r="H134" t="s">
        <v>153</v>
      </c>
      <c r="I134" t="s">
        <v>64</v>
      </c>
    </row>
    <row r="135" spans="1:9">
      <c r="A135" s="49">
        <v>46085</v>
      </c>
      <c r="B135" s="50">
        <v>0.5932291666666667</v>
      </c>
      <c r="C135" t="s">
        <v>150</v>
      </c>
      <c r="D135" t="s">
        <v>36</v>
      </c>
      <c r="E135" t="s">
        <v>191</v>
      </c>
      <c r="F135" t="s">
        <v>192</v>
      </c>
      <c r="G135">
        <v>-42000</v>
      </c>
      <c r="H135" t="s">
        <v>153</v>
      </c>
      <c r="I135" t="s">
        <v>157</v>
      </c>
    </row>
    <row r="136" spans="1:9">
      <c r="A136" s="49">
        <v>46085</v>
      </c>
      <c r="B136" s="50">
        <v>0.5932291666666667</v>
      </c>
      <c r="C136" t="s">
        <v>155</v>
      </c>
      <c r="D136" t="s">
        <v>158</v>
      </c>
      <c r="E136" t="s">
        <v>32</v>
      </c>
      <c r="F136" t="s">
        <v>160</v>
      </c>
      <c r="G136">
        <v>-34733</v>
      </c>
      <c r="H136" t="s">
        <v>153</v>
      </c>
      <c r="I136" t="s">
        <v>64</v>
      </c>
    </row>
    <row r="137" spans="1:9">
      <c r="A137" s="49">
        <v>46085</v>
      </c>
      <c r="B137" s="50">
        <v>0.5932175925925925</v>
      </c>
      <c r="C137" t="s">
        <v>155</v>
      </c>
      <c r="D137" t="s">
        <v>158</v>
      </c>
      <c r="E137" t="s">
        <v>32</v>
      </c>
      <c r="F137" t="s">
        <v>159</v>
      </c>
      <c r="G137">
        <v>34733</v>
      </c>
      <c r="H137" t="s">
        <v>153</v>
      </c>
      <c r="I137" t="s">
        <v>157</v>
      </c>
    </row>
    <row r="138" spans="1:9">
      <c r="A138" s="49">
        <v>46085</v>
      </c>
      <c r="B138" s="50">
        <v>0.5186805555555556</v>
      </c>
      <c r="C138" t="s">
        <v>155</v>
      </c>
      <c r="D138" t="s">
        <v>155</v>
      </c>
      <c r="E138" t="s">
        <v>32</v>
      </c>
      <c r="F138" t="s">
        <v>262</v>
      </c>
      <c r="G138">
        <v>499000</v>
      </c>
      <c r="H138" t="s">
        <v>153</v>
      </c>
      <c r="I138" t="s">
        <v>67</v>
      </c>
    </row>
    <row r="139" spans="1:9">
      <c r="A139" s="49">
        <v>46085</v>
      </c>
      <c r="B139" s="50">
        <v>0.4935185185185185</v>
      </c>
      <c r="C139" t="s">
        <v>155</v>
      </c>
      <c r="D139" t="s">
        <v>155</v>
      </c>
      <c r="E139" t="s">
        <v>32</v>
      </c>
      <c r="F139" t="s">
        <v>263</v>
      </c>
      <c r="G139">
        <v>499000</v>
      </c>
      <c r="H139" t="s">
        <v>153</v>
      </c>
      <c r="I139" t="s">
        <v>67</v>
      </c>
    </row>
    <row r="140" spans="1:9">
      <c r="A140" s="49">
        <v>46085</v>
      </c>
      <c r="B140" s="50">
        <v>0.4463657407407408</v>
      </c>
      <c r="C140" t="s">
        <v>150</v>
      </c>
      <c r="D140" t="s">
        <v>44</v>
      </c>
      <c r="E140" t="s">
        <v>225</v>
      </c>
      <c r="F140" t="s">
        <v>264</v>
      </c>
      <c r="G140">
        <v>-7890</v>
      </c>
      <c r="H140" t="s">
        <v>153</v>
      </c>
      <c r="I140" t="s">
        <v>154</v>
      </c>
    </row>
    <row r="141" spans="1:9">
      <c r="A141" s="49">
        <v>46085</v>
      </c>
      <c r="B141" s="50">
        <v>0.05472222222222222</v>
      </c>
      <c r="C141" t="s">
        <v>155</v>
      </c>
      <c r="D141" t="s">
        <v>155</v>
      </c>
      <c r="E141" t="s">
        <v>32</v>
      </c>
      <c r="F141" t="s">
        <v>265</v>
      </c>
      <c r="G141">
        <v>499000</v>
      </c>
      <c r="H141" t="s">
        <v>153</v>
      </c>
      <c r="I141" t="s">
        <v>67</v>
      </c>
    </row>
    <row r="142" spans="1:9">
      <c r="A142" s="49">
        <v>46084</v>
      </c>
      <c r="B142" s="50">
        <v>0.9006712962962963</v>
      </c>
      <c r="C142" t="s">
        <v>150</v>
      </c>
      <c r="D142" t="s">
        <v>36</v>
      </c>
      <c r="E142" t="s">
        <v>191</v>
      </c>
      <c r="F142" t="s">
        <v>192</v>
      </c>
      <c r="G142">
        <v>-2733</v>
      </c>
      <c r="H142" t="s">
        <v>153</v>
      </c>
      <c r="I142" t="s">
        <v>157</v>
      </c>
    </row>
    <row r="143" spans="1:9">
      <c r="A143" s="49">
        <v>46084</v>
      </c>
      <c r="B143" s="50">
        <v>0.9006597222222222</v>
      </c>
      <c r="C143" t="s">
        <v>155</v>
      </c>
      <c r="D143" t="s">
        <v>158</v>
      </c>
      <c r="E143" t="s">
        <v>32</v>
      </c>
      <c r="F143" t="s">
        <v>159</v>
      </c>
      <c r="G143">
        <v>10000</v>
      </c>
      <c r="H143" t="s">
        <v>153</v>
      </c>
      <c r="I143" t="s">
        <v>157</v>
      </c>
    </row>
    <row r="144" spans="1:9">
      <c r="A144" s="49">
        <v>46084</v>
      </c>
      <c r="B144" s="50">
        <v>0.9006597222222222</v>
      </c>
      <c r="C144" t="s">
        <v>155</v>
      </c>
      <c r="D144" t="s">
        <v>158</v>
      </c>
      <c r="E144" t="s">
        <v>32</v>
      </c>
      <c r="F144" t="s">
        <v>160</v>
      </c>
      <c r="G144">
        <v>-10000</v>
      </c>
      <c r="H144" t="s">
        <v>153</v>
      </c>
      <c r="I144" t="s">
        <v>64</v>
      </c>
    </row>
    <row r="145" spans="1:9">
      <c r="A145" s="49">
        <v>46084</v>
      </c>
      <c r="B145" s="50">
        <v>0.7757638888888889</v>
      </c>
      <c r="C145" t="s">
        <v>150</v>
      </c>
      <c r="D145" t="s">
        <v>36</v>
      </c>
      <c r="E145" t="s">
        <v>266</v>
      </c>
      <c r="F145" t="s">
        <v>267</v>
      </c>
      <c r="G145">
        <v>-305000</v>
      </c>
      <c r="H145" t="s">
        <v>153</v>
      </c>
      <c r="I145" t="s">
        <v>64</v>
      </c>
    </row>
    <row r="146" spans="1:9">
      <c r="A146" s="49">
        <v>46084</v>
      </c>
      <c r="B146" s="50">
        <v>0.7593171296296296</v>
      </c>
      <c r="C146" t="s">
        <v>150</v>
      </c>
      <c r="D146" t="s">
        <v>35</v>
      </c>
      <c r="E146" t="s">
        <v>169</v>
      </c>
      <c r="F146" t="s">
        <v>170</v>
      </c>
      <c r="G146">
        <v>-3270</v>
      </c>
      <c r="H146" t="s">
        <v>153</v>
      </c>
      <c r="I146" t="s">
        <v>171</v>
      </c>
    </row>
    <row r="147" spans="1:9">
      <c r="A147" s="49">
        <v>46084</v>
      </c>
      <c r="B147" s="50">
        <v>0.7593171296296296</v>
      </c>
      <c r="C147" t="s">
        <v>167</v>
      </c>
      <c r="D147" t="s">
        <v>31</v>
      </c>
      <c r="E147" t="s">
        <v>32</v>
      </c>
      <c r="F147" t="s">
        <v>168</v>
      </c>
      <c r="G147">
        <v>3000</v>
      </c>
      <c r="H147" t="s">
        <v>153</v>
      </c>
      <c r="I147" t="s">
        <v>64</v>
      </c>
    </row>
    <row r="148" spans="1:9">
      <c r="A148" s="49">
        <v>46084</v>
      </c>
      <c r="B148" s="50">
        <v>0.7536574074074074</v>
      </c>
      <c r="C148" t="s">
        <v>150</v>
      </c>
      <c r="D148" t="s">
        <v>35</v>
      </c>
      <c r="E148" t="s">
        <v>169</v>
      </c>
      <c r="F148" t="s">
        <v>170</v>
      </c>
      <c r="G148">
        <v>3000</v>
      </c>
      <c r="H148" t="s">
        <v>153</v>
      </c>
      <c r="I148" t="s">
        <v>171</v>
      </c>
    </row>
    <row r="149" spans="1:9">
      <c r="A149" s="49">
        <v>46084</v>
      </c>
      <c r="B149" s="50">
        <v>0.7536574074074074</v>
      </c>
      <c r="C149" t="s">
        <v>150</v>
      </c>
      <c r="D149" t="s">
        <v>40</v>
      </c>
      <c r="E149" t="s">
        <v>172</v>
      </c>
      <c r="F149" t="s">
        <v>173</v>
      </c>
      <c r="G149">
        <v>-3000</v>
      </c>
      <c r="H149" t="s">
        <v>153</v>
      </c>
      <c r="I149" t="s">
        <v>64</v>
      </c>
    </row>
    <row r="150" spans="1:9">
      <c r="A150" s="49">
        <v>46084</v>
      </c>
      <c r="B150" s="50">
        <v>0.5002893518518519</v>
      </c>
      <c r="C150" t="s">
        <v>150</v>
      </c>
      <c r="D150" t="s">
        <v>44</v>
      </c>
      <c r="E150" t="s">
        <v>162</v>
      </c>
      <c r="F150" t="s">
        <v>163</v>
      </c>
      <c r="G150">
        <v>-530000</v>
      </c>
      <c r="H150" t="s">
        <v>153</v>
      </c>
      <c r="I150" t="s">
        <v>164</v>
      </c>
    </row>
    <row r="151" spans="1:9">
      <c r="A151" s="49">
        <v>46084</v>
      </c>
      <c r="B151" s="50">
        <v>0.3948263888888889</v>
      </c>
      <c r="C151" t="s">
        <v>155</v>
      </c>
      <c r="D151" t="s">
        <v>155</v>
      </c>
      <c r="E151" t="s">
        <v>32</v>
      </c>
      <c r="F151" t="s">
        <v>268</v>
      </c>
      <c r="G151">
        <v>499900</v>
      </c>
      <c r="H151" t="s">
        <v>153</v>
      </c>
      <c r="I151" t="s">
        <v>67</v>
      </c>
    </row>
    <row r="152" spans="1:9">
      <c r="A152" s="49">
        <v>46084</v>
      </c>
      <c r="B152" s="50">
        <v>0.3712152777777778</v>
      </c>
      <c r="C152" t="s">
        <v>155</v>
      </c>
      <c r="D152" t="s">
        <v>155</v>
      </c>
      <c r="E152" t="s">
        <v>32</v>
      </c>
      <c r="F152" t="s">
        <v>160</v>
      </c>
      <c r="G152">
        <v>-386800</v>
      </c>
      <c r="H152" t="s">
        <v>153</v>
      </c>
      <c r="I152" t="s">
        <v>64</v>
      </c>
    </row>
    <row r="153" spans="1:9">
      <c r="A153" s="49">
        <v>46083</v>
      </c>
      <c r="B153" s="50">
        <v>0.9308217592592593</v>
      </c>
      <c r="C153" t="s">
        <v>155</v>
      </c>
      <c r="D153" t="s">
        <v>155</v>
      </c>
      <c r="E153" t="s">
        <v>32</v>
      </c>
      <c r="F153" t="s">
        <v>269</v>
      </c>
      <c r="G153">
        <v>499000</v>
      </c>
      <c r="H153" t="s">
        <v>153</v>
      </c>
      <c r="I153" t="s">
        <v>67</v>
      </c>
    </row>
    <row r="154" spans="1:9">
      <c r="A154" s="49">
        <v>46083</v>
      </c>
      <c r="B154" s="50">
        <v>0.7077430555555555</v>
      </c>
      <c r="C154" t="s">
        <v>150</v>
      </c>
      <c r="D154" t="s">
        <v>36</v>
      </c>
      <c r="E154" t="s">
        <v>191</v>
      </c>
      <c r="F154" t="s">
        <v>192</v>
      </c>
      <c r="G154">
        <v>-30105</v>
      </c>
      <c r="H154" t="s">
        <v>153</v>
      </c>
      <c r="I154" t="s">
        <v>157</v>
      </c>
    </row>
    <row r="155" spans="1:9">
      <c r="A155" s="49">
        <v>46083</v>
      </c>
      <c r="B155" s="50">
        <v>0.7077430555555555</v>
      </c>
      <c r="C155" t="s">
        <v>155</v>
      </c>
      <c r="D155" t="s">
        <v>158</v>
      </c>
      <c r="E155" t="s">
        <v>32</v>
      </c>
      <c r="F155" t="s">
        <v>160</v>
      </c>
      <c r="G155">
        <v>-30103</v>
      </c>
      <c r="H155" t="s">
        <v>153</v>
      </c>
      <c r="I155" t="s">
        <v>64</v>
      </c>
    </row>
    <row r="156" spans="1:9">
      <c r="A156" s="49">
        <v>46083</v>
      </c>
      <c r="B156" s="50">
        <v>0.7077314814814815</v>
      </c>
      <c r="C156" t="s">
        <v>155</v>
      </c>
      <c r="D156" t="s">
        <v>158</v>
      </c>
      <c r="E156" t="s">
        <v>32</v>
      </c>
      <c r="F156" t="s">
        <v>159</v>
      </c>
      <c r="G156">
        <v>30103</v>
      </c>
      <c r="H156" t="s">
        <v>153</v>
      </c>
      <c r="I156" t="s">
        <v>157</v>
      </c>
    </row>
    <row r="157" spans="1:9">
      <c r="A157" s="49">
        <v>46083</v>
      </c>
      <c r="B157" s="50">
        <v>0.5300810185185185</v>
      </c>
      <c r="C157" t="s">
        <v>155</v>
      </c>
      <c r="D157" t="s">
        <v>155</v>
      </c>
      <c r="E157" t="s">
        <v>32</v>
      </c>
      <c r="F157" t="s">
        <v>270</v>
      </c>
      <c r="G157">
        <v>499000</v>
      </c>
      <c r="H157" t="s">
        <v>153</v>
      </c>
      <c r="I157" t="s">
        <v>67</v>
      </c>
    </row>
    <row r="158" spans="1:9">
      <c r="A158" s="49">
        <v>46083</v>
      </c>
      <c r="B158" s="50">
        <v>0.5060069444444445</v>
      </c>
      <c r="C158" t="s">
        <v>155</v>
      </c>
      <c r="D158" t="s">
        <v>155</v>
      </c>
      <c r="E158" t="s">
        <v>32</v>
      </c>
      <c r="F158" t="s">
        <v>271</v>
      </c>
      <c r="G158">
        <v>499900</v>
      </c>
      <c r="H158" t="s">
        <v>153</v>
      </c>
      <c r="I158" t="s">
        <v>67</v>
      </c>
    </row>
    <row r="159" spans="1:9">
      <c r="A159" s="49">
        <v>46082</v>
      </c>
      <c r="B159" s="50">
        <v>0.7903356481481482</v>
      </c>
      <c r="C159" t="s">
        <v>155</v>
      </c>
      <c r="D159" t="s">
        <v>155</v>
      </c>
      <c r="E159" t="s">
        <v>32</v>
      </c>
      <c r="F159" t="s">
        <v>272</v>
      </c>
      <c r="G159">
        <v>499000</v>
      </c>
      <c r="H159" t="s">
        <v>153</v>
      </c>
      <c r="I159" t="s">
        <v>67</v>
      </c>
    </row>
    <row r="160" spans="1:9">
      <c r="A160" s="49">
        <v>46082</v>
      </c>
      <c r="B160" s="50">
        <v>0.7511574074074074</v>
      </c>
      <c r="C160" t="s">
        <v>155</v>
      </c>
      <c r="D160" t="s">
        <v>155</v>
      </c>
      <c r="E160" t="s">
        <v>32</v>
      </c>
      <c r="F160" t="s">
        <v>273</v>
      </c>
      <c r="G160">
        <v>499000</v>
      </c>
      <c r="H160" t="s">
        <v>153</v>
      </c>
      <c r="I160" t="s">
        <v>67</v>
      </c>
    </row>
    <row r="161" spans="1:9">
      <c r="A161" s="49">
        <v>46082</v>
      </c>
      <c r="B161" s="50">
        <v>0.3706597222222222</v>
      </c>
      <c r="C161" t="s">
        <v>150</v>
      </c>
      <c r="D161" t="s">
        <v>44</v>
      </c>
      <c r="E161" t="s">
        <v>162</v>
      </c>
      <c r="F161" t="s">
        <v>255</v>
      </c>
      <c r="G161">
        <v>-14000</v>
      </c>
      <c r="H161" t="s">
        <v>153</v>
      </c>
      <c r="I161" t="s">
        <v>154</v>
      </c>
    </row>
    <row r="162" spans="1:9">
      <c r="A162" s="49">
        <v>46082</v>
      </c>
      <c r="B162" s="50">
        <v>0.0715625</v>
      </c>
      <c r="C162" t="s">
        <v>167</v>
      </c>
      <c r="D162" t="s">
        <v>28</v>
      </c>
      <c r="E162" t="s">
        <v>32</v>
      </c>
      <c r="F162" t="s">
        <v>274</v>
      </c>
      <c r="G162">
        <v>0</v>
      </c>
      <c r="H162" t="s">
        <v>153</v>
      </c>
      <c r="I162" t="s">
        <v>61</v>
      </c>
    </row>
    <row r="163" spans="1:9">
      <c r="A163" s="49">
        <v>46081</v>
      </c>
      <c r="B163" s="50">
        <v>0.9710763888888889</v>
      </c>
      <c r="C163" t="s">
        <v>155</v>
      </c>
      <c r="D163" t="s">
        <v>155</v>
      </c>
      <c r="E163" t="s">
        <v>32</v>
      </c>
      <c r="F163" t="s">
        <v>275</v>
      </c>
      <c r="G163">
        <v>390000</v>
      </c>
      <c r="H163" t="s">
        <v>153</v>
      </c>
      <c r="I163" t="s">
        <v>64</v>
      </c>
    </row>
    <row r="164" spans="1:9">
      <c r="A164" s="49">
        <v>46081</v>
      </c>
      <c r="B164" s="50">
        <v>0.7158333333333333</v>
      </c>
      <c r="C164" t="s">
        <v>150</v>
      </c>
      <c r="D164" t="s">
        <v>44</v>
      </c>
      <c r="E164" t="s">
        <v>162</v>
      </c>
      <c r="F164" t="s">
        <v>163</v>
      </c>
      <c r="G164">
        <v>-500000</v>
      </c>
      <c r="H164" t="s">
        <v>153</v>
      </c>
      <c r="I164" t="s">
        <v>164</v>
      </c>
    </row>
    <row r="165" spans="1:9">
      <c r="A165" s="49">
        <v>46081</v>
      </c>
      <c r="B165" s="50">
        <v>0.7147569444444445</v>
      </c>
      <c r="C165" t="s">
        <v>150</v>
      </c>
      <c r="D165" t="s">
        <v>36</v>
      </c>
      <c r="E165" t="s">
        <v>191</v>
      </c>
      <c r="F165" t="s">
        <v>192</v>
      </c>
      <c r="G165">
        <v>-500000</v>
      </c>
      <c r="H165" t="s">
        <v>153</v>
      </c>
      <c r="I165" t="s">
        <v>157</v>
      </c>
    </row>
    <row r="166" spans="1:9">
      <c r="A166" s="49">
        <v>46081</v>
      </c>
      <c r="B166" s="50">
        <v>0.711099537037037</v>
      </c>
      <c r="C166" t="s">
        <v>155</v>
      </c>
      <c r="D166" t="s">
        <v>155</v>
      </c>
      <c r="E166" t="s">
        <v>32</v>
      </c>
      <c r="F166" t="s">
        <v>206</v>
      </c>
      <c r="G166">
        <v>1000000</v>
      </c>
      <c r="H166" t="s">
        <v>153</v>
      </c>
      <c r="I166" t="s">
        <v>157</v>
      </c>
    </row>
    <row r="167" spans="1:9">
      <c r="A167" s="49">
        <v>46081</v>
      </c>
      <c r="B167" s="50">
        <v>0.6897685185185185</v>
      </c>
      <c r="C167" t="s">
        <v>155</v>
      </c>
      <c r="D167" t="s">
        <v>155</v>
      </c>
      <c r="E167" t="s">
        <v>32</v>
      </c>
      <c r="F167" t="s">
        <v>276</v>
      </c>
      <c r="G167">
        <v>499000</v>
      </c>
      <c r="H167" t="s">
        <v>153</v>
      </c>
      <c r="I167" t="s">
        <v>67</v>
      </c>
    </row>
    <row r="168" spans="1:9">
      <c r="A168" s="49">
        <v>46081</v>
      </c>
      <c r="B168" s="50">
        <v>0.6877314814814814</v>
      </c>
      <c r="C168" t="s">
        <v>155</v>
      </c>
      <c r="D168" t="s">
        <v>155</v>
      </c>
      <c r="E168" t="s">
        <v>32</v>
      </c>
      <c r="F168" t="s">
        <v>277</v>
      </c>
      <c r="G168">
        <v>499000</v>
      </c>
      <c r="H168" t="s">
        <v>153</v>
      </c>
      <c r="I168" t="s">
        <v>67</v>
      </c>
    </row>
    <row r="169" spans="1:9">
      <c r="A169" s="49">
        <v>46081</v>
      </c>
      <c r="B169" s="50">
        <v>0.463599537037037</v>
      </c>
      <c r="C169" t="s">
        <v>155</v>
      </c>
      <c r="D169" t="s">
        <v>155</v>
      </c>
      <c r="E169" t="s">
        <v>32</v>
      </c>
      <c r="F169" t="s">
        <v>235</v>
      </c>
      <c r="G169">
        <v>256243</v>
      </c>
      <c r="H169" t="s">
        <v>153</v>
      </c>
      <c r="I169" t="s">
        <v>64</v>
      </c>
    </row>
    <row r="170" spans="1:9">
      <c r="A170" s="49">
        <v>46081</v>
      </c>
      <c r="B170" s="50">
        <v>0.2689930555555556</v>
      </c>
      <c r="C170" t="s">
        <v>167</v>
      </c>
      <c r="D170" t="s">
        <v>28</v>
      </c>
      <c r="E170" t="s">
        <v>32</v>
      </c>
      <c r="F170" t="s">
        <v>278</v>
      </c>
      <c r="G170">
        <v>515</v>
      </c>
      <c r="H170" t="s">
        <v>153</v>
      </c>
      <c r="I170" t="s">
        <v>67</v>
      </c>
    </row>
    <row r="171" spans="1:9">
      <c r="A171" s="49">
        <v>46081</v>
      </c>
      <c r="B171" s="50">
        <v>0.2163888888888889</v>
      </c>
      <c r="C171" t="s">
        <v>167</v>
      </c>
      <c r="D171" t="s">
        <v>28</v>
      </c>
      <c r="E171" t="s">
        <v>32</v>
      </c>
      <c r="F171" t="s">
        <v>278</v>
      </c>
      <c r="G171">
        <v>1635</v>
      </c>
      <c r="H171" t="s">
        <v>153</v>
      </c>
      <c r="I171" t="s">
        <v>64</v>
      </c>
    </row>
    <row r="172" spans="1:9">
      <c r="A172" s="49">
        <v>46081</v>
      </c>
      <c r="B172" s="50">
        <v>0.1258101851851852</v>
      </c>
      <c r="C172" t="s">
        <v>155</v>
      </c>
      <c r="D172" t="s">
        <v>241</v>
      </c>
      <c r="E172" t="s">
        <v>32</v>
      </c>
      <c r="F172" t="s">
        <v>279</v>
      </c>
      <c r="G172">
        <v>0</v>
      </c>
      <c r="H172" t="s">
        <v>153</v>
      </c>
      <c r="I172" t="s">
        <v>62</v>
      </c>
    </row>
    <row r="173" spans="1:9">
      <c r="A173" s="49">
        <v>46081</v>
      </c>
      <c r="B173" s="50">
        <v>0</v>
      </c>
      <c r="C173" t="s">
        <v>150</v>
      </c>
      <c r="D173" t="s">
        <v>35</v>
      </c>
      <c r="E173" t="s">
        <v>169</v>
      </c>
      <c r="F173" t="s">
        <v>280</v>
      </c>
      <c r="G173">
        <v>-300</v>
      </c>
      <c r="H173" t="s">
        <v>153</v>
      </c>
      <c r="I173" t="s">
        <v>154</v>
      </c>
    </row>
    <row r="174" spans="1:9">
      <c r="A174" s="49">
        <v>46081</v>
      </c>
      <c r="B174" s="50">
        <v>0</v>
      </c>
      <c r="C174" t="s">
        <v>150</v>
      </c>
      <c r="D174" t="s">
        <v>35</v>
      </c>
      <c r="E174" t="s">
        <v>169</v>
      </c>
      <c r="F174" t="s">
        <v>281</v>
      </c>
      <c r="G174">
        <v>-4500</v>
      </c>
      <c r="H174" t="s">
        <v>153</v>
      </c>
      <c r="I174" t="s">
        <v>154</v>
      </c>
    </row>
    <row r="175" spans="1:9">
      <c r="A175" s="49">
        <v>46080</v>
      </c>
      <c r="B175" s="50">
        <v>0.9491898148148148</v>
      </c>
      <c r="C175" t="s">
        <v>155</v>
      </c>
      <c r="D175" t="s">
        <v>155</v>
      </c>
      <c r="E175" t="s">
        <v>32</v>
      </c>
      <c r="F175" t="s">
        <v>282</v>
      </c>
      <c r="G175">
        <v>499000</v>
      </c>
      <c r="H175" t="s">
        <v>153</v>
      </c>
      <c r="I175" t="s">
        <v>67</v>
      </c>
    </row>
    <row r="176" spans="1:9">
      <c r="A176" s="49">
        <v>46080</v>
      </c>
      <c r="B176" s="50">
        <v>0.8027199074074074</v>
      </c>
      <c r="C176" t="s">
        <v>150</v>
      </c>
      <c r="D176" t="s">
        <v>44</v>
      </c>
      <c r="E176" t="s">
        <v>162</v>
      </c>
      <c r="F176" t="s">
        <v>283</v>
      </c>
      <c r="G176">
        <v>-26800</v>
      </c>
      <c r="H176" t="s">
        <v>153</v>
      </c>
      <c r="I176" t="s">
        <v>164</v>
      </c>
    </row>
    <row r="177" spans="1:9">
      <c r="A177" s="49">
        <v>46080</v>
      </c>
      <c r="B177" s="50">
        <v>0.8027199074074074</v>
      </c>
      <c r="C177" t="s">
        <v>150</v>
      </c>
      <c r="D177" t="s">
        <v>36</v>
      </c>
      <c r="E177" t="s">
        <v>266</v>
      </c>
      <c r="F177" t="s">
        <v>283</v>
      </c>
      <c r="G177">
        <v>-26800</v>
      </c>
      <c r="H177" t="s">
        <v>153</v>
      </c>
      <c r="I177" t="s">
        <v>157</v>
      </c>
    </row>
    <row r="178" spans="1:9">
      <c r="A178" s="49">
        <v>46080</v>
      </c>
      <c r="B178" s="50">
        <v>0.5303356481481482</v>
      </c>
      <c r="C178" t="s">
        <v>155</v>
      </c>
      <c r="D178" t="s">
        <v>155</v>
      </c>
      <c r="E178" t="s">
        <v>32</v>
      </c>
      <c r="F178" t="s">
        <v>284</v>
      </c>
      <c r="G178">
        <v>499000</v>
      </c>
      <c r="H178" t="s">
        <v>153</v>
      </c>
      <c r="I178" t="s">
        <v>67</v>
      </c>
    </row>
    <row r="179" spans="1:9">
      <c r="A179" s="49">
        <v>46080</v>
      </c>
      <c r="B179" s="50">
        <v>0.05996527777777778</v>
      </c>
      <c r="C179" t="s">
        <v>150</v>
      </c>
      <c r="D179" t="s">
        <v>44</v>
      </c>
      <c r="E179" t="s">
        <v>162</v>
      </c>
      <c r="F179" t="s">
        <v>166</v>
      </c>
      <c r="G179">
        <v>-13200</v>
      </c>
      <c r="H179" t="s">
        <v>153</v>
      </c>
      <c r="I179" t="s">
        <v>154</v>
      </c>
    </row>
    <row r="180" spans="1:9">
      <c r="A180" s="49">
        <v>46079</v>
      </c>
      <c r="B180" s="50">
        <v>0.7896527777777778</v>
      </c>
      <c r="C180" t="s">
        <v>150</v>
      </c>
      <c r="D180" t="s">
        <v>36</v>
      </c>
      <c r="E180" t="s">
        <v>191</v>
      </c>
      <c r="F180" t="s">
        <v>192</v>
      </c>
      <c r="G180">
        <v>-500000</v>
      </c>
      <c r="H180" t="s">
        <v>153</v>
      </c>
      <c r="I180" t="s">
        <v>157</v>
      </c>
    </row>
    <row r="181" spans="1:9">
      <c r="A181" s="49">
        <v>46079</v>
      </c>
      <c r="B181" s="50">
        <v>0.7896412037037037</v>
      </c>
      <c r="C181" t="s">
        <v>155</v>
      </c>
      <c r="D181" t="s">
        <v>158</v>
      </c>
      <c r="E181" t="s">
        <v>32</v>
      </c>
      <c r="F181" t="s">
        <v>159</v>
      </c>
      <c r="G181">
        <v>491920</v>
      </c>
      <c r="H181" t="s">
        <v>153</v>
      </c>
      <c r="I181" t="s">
        <v>157</v>
      </c>
    </row>
    <row r="182" spans="1:9">
      <c r="A182" s="49">
        <v>46079</v>
      </c>
      <c r="B182" s="50">
        <v>0.7896412037037037</v>
      </c>
      <c r="C182" t="s">
        <v>155</v>
      </c>
      <c r="D182" t="s">
        <v>158</v>
      </c>
      <c r="E182" t="s">
        <v>32</v>
      </c>
      <c r="F182" t="s">
        <v>160</v>
      </c>
      <c r="G182">
        <v>-491920</v>
      </c>
      <c r="H182" t="s">
        <v>153</v>
      </c>
      <c r="I182" t="s">
        <v>64</v>
      </c>
    </row>
    <row r="183" spans="1:9">
      <c r="A183" s="49">
        <v>46079</v>
      </c>
      <c r="B183" s="50">
        <v>0.7891435185185185</v>
      </c>
      <c r="C183" t="s">
        <v>155</v>
      </c>
      <c r="D183" t="s">
        <v>158</v>
      </c>
      <c r="E183" t="s">
        <v>32</v>
      </c>
      <c r="F183" t="s">
        <v>7</v>
      </c>
      <c r="G183">
        <v>1936400</v>
      </c>
      <c r="H183" t="s">
        <v>153</v>
      </c>
      <c r="I183" t="s">
        <v>64</v>
      </c>
    </row>
    <row r="184" spans="1:9">
      <c r="A184" s="49">
        <v>46079</v>
      </c>
      <c r="B184" s="50">
        <v>0.6659143518518519</v>
      </c>
      <c r="C184" t="s">
        <v>150</v>
      </c>
      <c r="D184" t="s">
        <v>42</v>
      </c>
      <c r="E184" t="s">
        <v>212</v>
      </c>
      <c r="F184" t="s">
        <v>213</v>
      </c>
      <c r="G184">
        <v>-30000</v>
      </c>
      <c r="H184" t="s">
        <v>153</v>
      </c>
      <c r="I184" t="s">
        <v>171</v>
      </c>
    </row>
    <row r="185" spans="1:9">
      <c r="A185" s="49">
        <v>46079</v>
      </c>
      <c r="B185" s="50">
        <v>0.6636458333333334</v>
      </c>
      <c r="C185" t="s">
        <v>150</v>
      </c>
      <c r="D185" t="s">
        <v>42</v>
      </c>
      <c r="E185" t="s">
        <v>212</v>
      </c>
      <c r="F185" t="s">
        <v>213</v>
      </c>
      <c r="G185">
        <v>30000</v>
      </c>
      <c r="H185" t="s">
        <v>153</v>
      </c>
      <c r="I185" t="s">
        <v>171</v>
      </c>
    </row>
    <row r="186" spans="1:9">
      <c r="A186" s="49">
        <v>46079</v>
      </c>
      <c r="B186" s="50">
        <v>0.6581597222222222</v>
      </c>
      <c r="C186" t="s">
        <v>150</v>
      </c>
      <c r="D186" t="s">
        <v>48</v>
      </c>
      <c r="E186" t="s">
        <v>185</v>
      </c>
      <c r="F186" t="s">
        <v>199</v>
      </c>
      <c r="G186">
        <v>-1920</v>
      </c>
      <c r="H186" t="s">
        <v>153</v>
      </c>
      <c r="I186" t="s">
        <v>164</v>
      </c>
    </row>
    <row r="187" spans="1:9">
      <c r="A187" s="49">
        <v>46079</v>
      </c>
      <c r="B187" s="50">
        <v>0.6581597222222222</v>
      </c>
      <c r="C187" t="s">
        <v>155</v>
      </c>
      <c r="D187" t="s">
        <v>158</v>
      </c>
      <c r="E187" t="s">
        <v>32</v>
      </c>
      <c r="F187" t="s">
        <v>159</v>
      </c>
      <c r="G187">
        <v>10000</v>
      </c>
      <c r="H187" t="s">
        <v>153</v>
      </c>
      <c r="I187" t="s">
        <v>157</v>
      </c>
    </row>
    <row r="188" spans="1:9">
      <c r="A188" s="49">
        <v>46079</v>
      </c>
      <c r="B188" s="50">
        <v>0.6581597222222222</v>
      </c>
      <c r="C188" t="s">
        <v>155</v>
      </c>
      <c r="D188" t="s">
        <v>158</v>
      </c>
      <c r="E188" t="s">
        <v>32</v>
      </c>
      <c r="F188" t="s">
        <v>160</v>
      </c>
      <c r="G188">
        <v>-10000</v>
      </c>
      <c r="H188" t="s">
        <v>153</v>
      </c>
      <c r="I188" t="s">
        <v>64</v>
      </c>
    </row>
    <row r="189" spans="1:9">
      <c r="A189" s="49">
        <v>46079</v>
      </c>
      <c r="B189" s="50">
        <v>0.6021875</v>
      </c>
      <c r="C189" t="s">
        <v>155</v>
      </c>
      <c r="D189" t="s">
        <v>155</v>
      </c>
      <c r="E189" t="s">
        <v>32</v>
      </c>
      <c r="F189" t="s">
        <v>285</v>
      </c>
      <c r="G189">
        <v>499000</v>
      </c>
      <c r="H189" t="s">
        <v>153</v>
      </c>
      <c r="I189" t="s">
        <v>67</v>
      </c>
    </row>
    <row r="190" spans="1:9">
      <c r="A190" s="49">
        <v>46078</v>
      </c>
      <c r="B190" s="50">
        <v>0.7083680555555556</v>
      </c>
      <c r="C190" t="s">
        <v>150</v>
      </c>
      <c r="D190" t="s">
        <v>49</v>
      </c>
      <c r="E190" t="s">
        <v>286</v>
      </c>
      <c r="F190" t="s">
        <v>287</v>
      </c>
      <c r="G190">
        <v>-49500</v>
      </c>
      <c r="H190" t="s">
        <v>153</v>
      </c>
      <c r="I190" t="s">
        <v>164</v>
      </c>
    </row>
    <row r="191" spans="1:9">
      <c r="A191" s="49">
        <v>46078</v>
      </c>
      <c r="B191" s="50">
        <v>0.7083680555555556</v>
      </c>
      <c r="C191" t="s">
        <v>150</v>
      </c>
      <c r="D191" t="s">
        <v>44</v>
      </c>
      <c r="E191" t="s">
        <v>162</v>
      </c>
      <c r="F191" t="s">
        <v>287</v>
      </c>
      <c r="G191">
        <v>-49500</v>
      </c>
      <c r="H191" t="s">
        <v>153</v>
      </c>
      <c r="I191" t="s">
        <v>157</v>
      </c>
    </row>
    <row r="192" spans="1:9">
      <c r="A192" s="49">
        <v>46078</v>
      </c>
      <c r="B192" s="50">
        <v>0.4276041666666667</v>
      </c>
      <c r="C192" t="s">
        <v>155</v>
      </c>
      <c r="D192" t="s">
        <v>229</v>
      </c>
      <c r="E192" t="s">
        <v>32</v>
      </c>
      <c r="F192" t="s">
        <v>31</v>
      </c>
      <c r="G192">
        <v>1000000</v>
      </c>
      <c r="H192" t="s">
        <v>153</v>
      </c>
      <c r="I192" t="s">
        <v>64</v>
      </c>
    </row>
    <row r="193" spans="1:9">
      <c r="A193" s="49">
        <v>46078</v>
      </c>
      <c r="B193" s="50">
        <v>0.4253240740740741</v>
      </c>
      <c r="C193" t="s">
        <v>155</v>
      </c>
      <c r="D193" t="s">
        <v>155</v>
      </c>
      <c r="E193" t="s">
        <v>32</v>
      </c>
      <c r="F193" t="s">
        <v>288</v>
      </c>
      <c r="G193">
        <v>499000</v>
      </c>
      <c r="H193" t="s">
        <v>153</v>
      </c>
      <c r="I193" t="s">
        <v>67</v>
      </c>
    </row>
    <row r="194" spans="1:9">
      <c r="A194" s="49">
        <v>46078</v>
      </c>
      <c r="B194" s="50">
        <v>0.06888888888888889</v>
      </c>
      <c r="C194" t="s">
        <v>155</v>
      </c>
      <c r="D194" t="s">
        <v>155</v>
      </c>
      <c r="E194" t="s">
        <v>32</v>
      </c>
      <c r="F194" t="s">
        <v>160</v>
      </c>
      <c r="G194">
        <v>-96700</v>
      </c>
      <c r="H194" t="s">
        <v>153</v>
      </c>
      <c r="I194" t="s">
        <v>64</v>
      </c>
    </row>
    <row r="195" spans="1:9">
      <c r="A195" s="49">
        <v>46077</v>
      </c>
      <c r="B195" s="50">
        <v>0.7394444444444445</v>
      </c>
      <c r="C195" t="s">
        <v>150</v>
      </c>
      <c r="D195" t="s">
        <v>48</v>
      </c>
      <c r="E195" t="s">
        <v>196</v>
      </c>
      <c r="F195" t="s">
        <v>197</v>
      </c>
      <c r="G195">
        <v>-65000</v>
      </c>
      <c r="H195" t="s">
        <v>153</v>
      </c>
      <c r="I195" t="s">
        <v>154</v>
      </c>
    </row>
    <row r="196" spans="1:9">
      <c r="A196" s="49">
        <v>46076</v>
      </c>
      <c r="B196" s="50">
        <v>0.9205208333333333</v>
      </c>
      <c r="C196" t="s">
        <v>155</v>
      </c>
      <c r="D196" t="s">
        <v>155</v>
      </c>
      <c r="E196" t="s">
        <v>32</v>
      </c>
      <c r="F196" t="s">
        <v>289</v>
      </c>
      <c r="G196">
        <v>499000</v>
      </c>
      <c r="H196" t="s">
        <v>153</v>
      </c>
      <c r="I196" t="s">
        <v>67</v>
      </c>
    </row>
    <row r="197" spans="1:9">
      <c r="A197" s="49">
        <v>46076</v>
      </c>
      <c r="B197" s="50">
        <v>0.8338194444444444</v>
      </c>
      <c r="C197" t="s">
        <v>155</v>
      </c>
      <c r="D197" t="s">
        <v>155</v>
      </c>
      <c r="E197" t="s">
        <v>32</v>
      </c>
      <c r="F197" t="s">
        <v>290</v>
      </c>
      <c r="G197">
        <v>499000</v>
      </c>
      <c r="H197" t="s">
        <v>153</v>
      </c>
      <c r="I197" t="s">
        <v>67</v>
      </c>
    </row>
    <row r="198" spans="1:9">
      <c r="A198" s="49">
        <v>46076</v>
      </c>
      <c r="B198" s="50">
        <v>0.7232291666666667</v>
      </c>
      <c r="C198" t="s">
        <v>150</v>
      </c>
      <c r="D198" t="s">
        <v>35</v>
      </c>
      <c r="E198" t="s">
        <v>169</v>
      </c>
      <c r="F198" t="s">
        <v>187</v>
      </c>
      <c r="G198">
        <v>-1797</v>
      </c>
      <c r="H198" t="s">
        <v>153</v>
      </c>
      <c r="I198" t="s">
        <v>171</v>
      </c>
    </row>
    <row r="199" spans="1:9">
      <c r="A199" s="49">
        <v>46076</v>
      </c>
      <c r="B199" s="50">
        <v>0.6545717592592593</v>
      </c>
      <c r="C199" t="s">
        <v>150</v>
      </c>
      <c r="D199" t="s">
        <v>44</v>
      </c>
      <c r="E199" t="s">
        <v>162</v>
      </c>
      <c r="F199" t="s">
        <v>163</v>
      </c>
      <c r="G199">
        <v>-50000</v>
      </c>
      <c r="H199" t="s">
        <v>153</v>
      </c>
      <c r="I199" t="s">
        <v>164</v>
      </c>
    </row>
    <row r="200" spans="1:9">
      <c r="A200" s="49">
        <v>46076</v>
      </c>
      <c r="B200" s="50">
        <v>0.6455208333333333</v>
      </c>
      <c r="C200" t="s">
        <v>155</v>
      </c>
      <c r="D200" t="s">
        <v>155</v>
      </c>
      <c r="E200" t="s">
        <v>32</v>
      </c>
      <c r="F200" t="s">
        <v>156</v>
      </c>
      <c r="G200">
        <v>-96700</v>
      </c>
      <c r="H200" t="s">
        <v>153</v>
      </c>
      <c r="I200" t="s">
        <v>157</v>
      </c>
    </row>
    <row r="201" spans="1:9">
      <c r="A201" s="49">
        <v>46076</v>
      </c>
      <c r="B201" s="50">
        <v>0.6455092592592593</v>
      </c>
      <c r="C201" t="s">
        <v>155</v>
      </c>
      <c r="D201" t="s">
        <v>158</v>
      </c>
      <c r="E201" t="s">
        <v>32</v>
      </c>
      <c r="F201" t="s">
        <v>160</v>
      </c>
      <c r="G201">
        <v>-88024</v>
      </c>
      <c r="H201" t="s">
        <v>153</v>
      </c>
      <c r="I201" t="s">
        <v>64</v>
      </c>
    </row>
    <row r="202" spans="1:9">
      <c r="A202" s="49">
        <v>46076</v>
      </c>
      <c r="B202" s="50">
        <v>0.6454976851851851</v>
      </c>
      <c r="C202" t="s">
        <v>155</v>
      </c>
      <c r="D202" t="s">
        <v>158</v>
      </c>
      <c r="E202" t="s">
        <v>32</v>
      </c>
      <c r="F202" t="s">
        <v>159</v>
      </c>
      <c r="G202">
        <v>88024</v>
      </c>
      <c r="H202" t="s">
        <v>153</v>
      </c>
      <c r="I202" t="s">
        <v>157</v>
      </c>
    </row>
    <row r="203" spans="1:9">
      <c r="A203" s="49">
        <v>46076</v>
      </c>
      <c r="B203" s="50">
        <v>0.612199074074074</v>
      </c>
      <c r="C203" t="s">
        <v>155</v>
      </c>
      <c r="D203" t="s">
        <v>155</v>
      </c>
      <c r="E203" t="s">
        <v>32</v>
      </c>
      <c r="F203" t="s">
        <v>291</v>
      </c>
      <c r="G203">
        <v>349000</v>
      </c>
      <c r="H203" t="s">
        <v>153</v>
      </c>
      <c r="I203" t="s">
        <v>67</v>
      </c>
    </row>
    <row r="204" spans="1:9">
      <c r="A204" s="49">
        <v>46076</v>
      </c>
      <c r="B204" s="50">
        <v>0.5806134259259259</v>
      </c>
      <c r="C204" t="s">
        <v>150</v>
      </c>
      <c r="D204" t="s">
        <v>47</v>
      </c>
      <c r="E204" t="s">
        <v>292</v>
      </c>
      <c r="F204" t="s">
        <v>293</v>
      </c>
      <c r="G204">
        <v>-32990</v>
      </c>
      <c r="H204" t="s">
        <v>153</v>
      </c>
      <c r="I204" t="s">
        <v>164</v>
      </c>
    </row>
    <row r="205" spans="1:9">
      <c r="A205" s="49">
        <v>46075</v>
      </c>
      <c r="B205" s="50">
        <v>0.7271296296296297</v>
      </c>
      <c r="C205" t="s">
        <v>155</v>
      </c>
      <c r="D205" t="s">
        <v>155</v>
      </c>
      <c r="E205" t="s">
        <v>32</v>
      </c>
      <c r="F205" t="s">
        <v>294</v>
      </c>
      <c r="G205">
        <v>13333</v>
      </c>
      <c r="H205" t="s">
        <v>153</v>
      </c>
      <c r="I205" t="s">
        <v>157</v>
      </c>
    </row>
    <row r="206" spans="1:9">
      <c r="A206" s="49">
        <v>46075</v>
      </c>
      <c r="B206" s="50">
        <v>0.5804166666666667</v>
      </c>
      <c r="C206" t="s">
        <v>155</v>
      </c>
      <c r="D206" t="s">
        <v>155</v>
      </c>
      <c r="E206" t="s">
        <v>32</v>
      </c>
      <c r="F206" t="s">
        <v>295</v>
      </c>
      <c r="G206">
        <v>13333</v>
      </c>
      <c r="H206" t="s">
        <v>153</v>
      </c>
      <c r="I206" t="s">
        <v>157</v>
      </c>
    </row>
    <row r="207" spans="1:9">
      <c r="A207" s="49">
        <v>46075</v>
      </c>
      <c r="B207" s="50">
        <v>0.5803356481481482</v>
      </c>
      <c r="C207" t="s">
        <v>155</v>
      </c>
      <c r="D207" t="s">
        <v>155</v>
      </c>
      <c r="E207" t="s">
        <v>32</v>
      </c>
      <c r="F207" t="s">
        <v>294</v>
      </c>
      <c r="G207">
        <v>15000</v>
      </c>
      <c r="H207" t="s">
        <v>153</v>
      </c>
      <c r="I207" t="s">
        <v>157</v>
      </c>
    </row>
    <row r="208" spans="1:9">
      <c r="A208" s="49">
        <v>46075</v>
      </c>
      <c r="B208" s="50">
        <v>0.2578472222222222</v>
      </c>
      <c r="C208" t="s">
        <v>155</v>
      </c>
      <c r="D208" t="s">
        <v>155</v>
      </c>
      <c r="E208" t="s">
        <v>32</v>
      </c>
      <c r="F208" t="s">
        <v>296</v>
      </c>
      <c r="G208">
        <v>-36000</v>
      </c>
      <c r="H208" t="s">
        <v>153</v>
      </c>
      <c r="I208" t="s">
        <v>157</v>
      </c>
    </row>
    <row r="209" spans="1:9">
      <c r="A209" s="49">
        <v>46075</v>
      </c>
      <c r="B209" s="50">
        <v>0.2578356481481481</v>
      </c>
      <c r="C209" t="s">
        <v>155</v>
      </c>
      <c r="D209" t="s">
        <v>158</v>
      </c>
      <c r="E209" t="s">
        <v>32</v>
      </c>
      <c r="F209" t="s">
        <v>159</v>
      </c>
      <c r="G209">
        <v>23871</v>
      </c>
      <c r="H209" t="s">
        <v>153</v>
      </c>
      <c r="I209" t="s">
        <v>157</v>
      </c>
    </row>
    <row r="210" spans="1:9">
      <c r="A210" s="49">
        <v>46075</v>
      </c>
      <c r="B210" s="50">
        <v>0.2578356481481481</v>
      </c>
      <c r="C210" t="s">
        <v>155</v>
      </c>
      <c r="D210" t="s">
        <v>158</v>
      </c>
      <c r="E210" t="s">
        <v>32</v>
      </c>
      <c r="F210" t="s">
        <v>160</v>
      </c>
      <c r="G210">
        <v>-23871</v>
      </c>
      <c r="H210" t="s">
        <v>153</v>
      </c>
      <c r="I210" t="s">
        <v>64</v>
      </c>
    </row>
    <row r="211" spans="1:9">
      <c r="A211" s="49">
        <v>46075</v>
      </c>
      <c r="B211" s="50">
        <v>0.2571412037037037</v>
      </c>
      <c r="C211" t="s">
        <v>155</v>
      </c>
      <c r="D211" t="s">
        <v>155</v>
      </c>
      <c r="E211" t="s">
        <v>32</v>
      </c>
      <c r="F211" t="s">
        <v>296</v>
      </c>
      <c r="G211">
        <v>5000</v>
      </c>
      <c r="H211" t="s">
        <v>153</v>
      </c>
      <c r="I211" t="s">
        <v>157</v>
      </c>
    </row>
    <row r="212" spans="1:9">
      <c r="A212" s="49">
        <v>46074</v>
      </c>
      <c r="B212" s="50">
        <v>0.5545949074074074</v>
      </c>
      <c r="C212" t="s">
        <v>155</v>
      </c>
      <c r="D212" t="s">
        <v>155</v>
      </c>
      <c r="E212" t="s">
        <v>32</v>
      </c>
      <c r="F212" t="s">
        <v>297</v>
      </c>
      <c r="G212">
        <v>499000</v>
      </c>
      <c r="H212" t="s">
        <v>153</v>
      </c>
      <c r="I212" t="s">
        <v>67</v>
      </c>
    </row>
    <row r="213" spans="1:9">
      <c r="A213" s="49">
        <v>46074</v>
      </c>
      <c r="B213" s="50">
        <v>0.06620370370370371</v>
      </c>
      <c r="C213" t="s">
        <v>150</v>
      </c>
      <c r="D213" t="s">
        <v>48</v>
      </c>
      <c r="E213" t="s">
        <v>185</v>
      </c>
      <c r="F213" t="s">
        <v>199</v>
      </c>
      <c r="G213">
        <v>-3000</v>
      </c>
      <c r="H213" t="s">
        <v>153</v>
      </c>
      <c r="I213" t="s">
        <v>164</v>
      </c>
    </row>
    <row r="214" spans="1:9">
      <c r="A214" s="49">
        <v>46074</v>
      </c>
      <c r="B214" s="50">
        <v>0.06620370370370371</v>
      </c>
      <c r="C214" t="s">
        <v>155</v>
      </c>
      <c r="D214" t="s">
        <v>158</v>
      </c>
      <c r="E214" t="s">
        <v>32</v>
      </c>
      <c r="F214" t="s">
        <v>159</v>
      </c>
      <c r="G214">
        <v>10000</v>
      </c>
      <c r="H214" t="s">
        <v>153</v>
      </c>
      <c r="I214" t="s">
        <v>157</v>
      </c>
    </row>
    <row r="215" spans="1:9">
      <c r="A215" s="49">
        <v>46074</v>
      </c>
      <c r="B215" s="50">
        <v>0.06620370370370371</v>
      </c>
      <c r="C215" t="s">
        <v>155</v>
      </c>
      <c r="D215" t="s">
        <v>158</v>
      </c>
      <c r="E215" t="s">
        <v>32</v>
      </c>
      <c r="F215" t="s">
        <v>160</v>
      </c>
      <c r="G215">
        <v>-10000</v>
      </c>
      <c r="H215" t="s">
        <v>153</v>
      </c>
      <c r="I215" t="s">
        <v>64</v>
      </c>
    </row>
    <row r="216" spans="1:9">
      <c r="A216" s="49">
        <v>46073</v>
      </c>
      <c r="B216" s="50">
        <v>0.6640046296296296</v>
      </c>
      <c r="C216" t="s">
        <v>150</v>
      </c>
      <c r="D216" t="s">
        <v>48</v>
      </c>
      <c r="E216" t="s">
        <v>196</v>
      </c>
      <c r="F216" t="s">
        <v>197</v>
      </c>
      <c r="G216">
        <v>-65000</v>
      </c>
      <c r="H216" t="s">
        <v>153</v>
      </c>
      <c r="I216" t="s">
        <v>154</v>
      </c>
    </row>
    <row r="217" spans="1:9">
      <c r="A217" s="49">
        <v>46072</v>
      </c>
      <c r="B217" s="50">
        <v>0.989988425925926</v>
      </c>
      <c r="C217" t="s">
        <v>150</v>
      </c>
      <c r="D217" t="s">
        <v>41</v>
      </c>
      <c r="E217" t="s">
        <v>298</v>
      </c>
      <c r="F217" t="s">
        <v>299</v>
      </c>
      <c r="G217">
        <v>-37600</v>
      </c>
      <c r="H217" t="s">
        <v>153</v>
      </c>
      <c r="I217" t="s">
        <v>171</v>
      </c>
    </row>
    <row r="218" spans="1:9">
      <c r="A218" s="49">
        <v>46072</v>
      </c>
      <c r="B218" s="50">
        <v>0.5865856481481482</v>
      </c>
      <c r="C218" t="s">
        <v>155</v>
      </c>
      <c r="D218" t="s">
        <v>158</v>
      </c>
      <c r="E218" t="s">
        <v>32</v>
      </c>
      <c r="F218" t="s">
        <v>159</v>
      </c>
      <c r="G218">
        <v>-667731</v>
      </c>
      <c r="H218" t="s">
        <v>153</v>
      </c>
      <c r="I218" t="s">
        <v>157</v>
      </c>
    </row>
    <row r="219" spans="1:9">
      <c r="A219" s="49">
        <v>46072</v>
      </c>
      <c r="B219" s="50">
        <v>0.5865856481481482</v>
      </c>
      <c r="C219" t="s">
        <v>155</v>
      </c>
      <c r="D219" t="s">
        <v>158</v>
      </c>
      <c r="E219" t="s">
        <v>32</v>
      </c>
      <c r="F219" t="s">
        <v>7</v>
      </c>
      <c r="G219">
        <v>667731</v>
      </c>
      <c r="H219" t="s">
        <v>153</v>
      </c>
      <c r="I219" t="s">
        <v>64</v>
      </c>
    </row>
    <row r="220" spans="1:9">
      <c r="A220" s="49">
        <v>46072</v>
      </c>
      <c r="B220" s="50">
        <v>0.5859837962962963</v>
      </c>
      <c r="C220" t="s">
        <v>150</v>
      </c>
      <c r="D220" t="s">
        <v>44</v>
      </c>
      <c r="E220" t="s">
        <v>162</v>
      </c>
      <c r="F220" t="s">
        <v>163</v>
      </c>
      <c r="G220">
        <v>-2000</v>
      </c>
      <c r="H220" t="s">
        <v>153</v>
      </c>
      <c r="I220" t="s">
        <v>164</v>
      </c>
    </row>
    <row r="221" spans="1:9">
      <c r="A221" s="49">
        <v>46072</v>
      </c>
      <c r="B221" s="50">
        <v>0.1419560185185185</v>
      </c>
      <c r="C221" t="s">
        <v>150</v>
      </c>
      <c r="D221" t="s">
        <v>37</v>
      </c>
      <c r="E221" t="s">
        <v>201</v>
      </c>
      <c r="F221" t="s">
        <v>300</v>
      </c>
      <c r="G221">
        <v>-76708</v>
      </c>
      <c r="H221" t="s">
        <v>153</v>
      </c>
      <c r="I221" t="s">
        <v>154</v>
      </c>
    </row>
    <row r="222" spans="1:9">
      <c r="A222" s="49">
        <v>46072</v>
      </c>
      <c r="B222" s="50">
        <v>0.04605324074074074</v>
      </c>
      <c r="C222" t="s">
        <v>155</v>
      </c>
      <c r="D222" t="s">
        <v>155</v>
      </c>
      <c r="E222" t="s">
        <v>32</v>
      </c>
      <c r="F222" t="s">
        <v>301</v>
      </c>
      <c r="G222">
        <v>499000</v>
      </c>
      <c r="H222" t="s">
        <v>153</v>
      </c>
      <c r="I222" t="s">
        <v>67</v>
      </c>
    </row>
    <row r="223" spans="1:9">
      <c r="A223" s="49">
        <v>46072</v>
      </c>
      <c r="B223" s="50">
        <v>0.04311342592592592</v>
      </c>
      <c r="C223" t="s">
        <v>150</v>
      </c>
      <c r="D223" t="s">
        <v>44</v>
      </c>
      <c r="E223" t="s">
        <v>162</v>
      </c>
      <c r="F223" t="s">
        <v>166</v>
      </c>
      <c r="G223">
        <v>-3692</v>
      </c>
      <c r="H223" t="s">
        <v>153</v>
      </c>
      <c r="I223" t="s">
        <v>154</v>
      </c>
    </row>
    <row r="224" spans="1:9">
      <c r="A224" s="49">
        <v>46071</v>
      </c>
      <c r="B224" s="50">
        <v>0.9163078703703704</v>
      </c>
      <c r="C224" t="s">
        <v>150</v>
      </c>
      <c r="D224" t="s">
        <v>44</v>
      </c>
      <c r="E224" t="s">
        <v>162</v>
      </c>
      <c r="F224" t="s">
        <v>166</v>
      </c>
      <c r="G224">
        <v>-12800</v>
      </c>
      <c r="H224" t="s">
        <v>153</v>
      </c>
      <c r="I224" t="s">
        <v>154</v>
      </c>
    </row>
    <row r="225" spans="1:9">
      <c r="A225" s="49">
        <v>46071</v>
      </c>
      <c r="B225" s="50">
        <v>0.8435763888888889</v>
      </c>
      <c r="C225" t="s">
        <v>167</v>
      </c>
      <c r="D225" t="s">
        <v>29</v>
      </c>
      <c r="E225" t="s">
        <v>32</v>
      </c>
      <c r="F225" t="s">
        <v>302</v>
      </c>
      <c r="G225">
        <v>100000</v>
      </c>
      <c r="H225" t="s">
        <v>153</v>
      </c>
      <c r="I225" t="s">
        <v>64</v>
      </c>
    </row>
    <row r="226" spans="1:9">
      <c r="A226" s="49">
        <v>46071</v>
      </c>
      <c r="B226" s="50">
        <v>0.8350462962962963</v>
      </c>
      <c r="C226" t="s">
        <v>150</v>
      </c>
      <c r="D226" t="s">
        <v>44</v>
      </c>
      <c r="E226" t="s">
        <v>162</v>
      </c>
      <c r="F226" t="s">
        <v>166</v>
      </c>
      <c r="G226">
        <v>-29700</v>
      </c>
      <c r="H226" t="s">
        <v>153</v>
      </c>
      <c r="I226" t="s">
        <v>154</v>
      </c>
    </row>
    <row r="227" spans="1:9">
      <c r="A227" s="49">
        <v>46071</v>
      </c>
      <c r="B227" s="50">
        <v>0.5670486111111112</v>
      </c>
      <c r="C227" t="s">
        <v>155</v>
      </c>
      <c r="D227" t="s">
        <v>155</v>
      </c>
      <c r="E227" t="s">
        <v>32</v>
      </c>
      <c r="F227" t="s">
        <v>303</v>
      </c>
      <c r="G227">
        <v>499000</v>
      </c>
      <c r="H227" t="s">
        <v>153</v>
      </c>
      <c r="I227" t="s">
        <v>67</v>
      </c>
    </row>
    <row r="228" spans="1:9">
      <c r="A228" s="49">
        <v>46071</v>
      </c>
      <c r="B228" s="50">
        <v>0.4789120370370371</v>
      </c>
      <c r="C228" t="s">
        <v>150</v>
      </c>
      <c r="D228" t="s">
        <v>49</v>
      </c>
      <c r="E228" t="s">
        <v>304</v>
      </c>
      <c r="F228" t="s">
        <v>305</v>
      </c>
      <c r="G228">
        <v>-9000</v>
      </c>
      <c r="H228" t="s">
        <v>153</v>
      </c>
      <c r="I228" t="s">
        <v>154</v>
      </c>
    </row>
    <row r="229" spans="1:9">
      <c r="A229" s="49">
        <v>46071</v>
      </c>
      <c r="B229" s="50">
        <v>0.4743171296296296</v>
      </c>
      <c r="C229" t="s">
        <v>155</v>
      </c>
      <c r="D229" t="s">
        <v>155</v>
      </c>
      <c r="E229" t="s">
        <v>32</v>
      </c>
      <c r="F229" t="s">
        <v>306</v>
      </c>
      <c r="G229">
        <v>499000</v>
      </c>
      <c r="H229" t="s">
        <v>153</v>
      </c>
      <c r="I229" t="s">
        <v>67</v>
      </c>
    </row>
    <row r="230" spans="1:9">
      <c r="A230" s="49">
        <v>46071</v>
      </c>
      <c r="B230" s="50">
        <v>0.4460185185185185</v>
      </c>
      <c r="C230" t="s">
        <v>155</v>
      </c>
      <c r="D230" t="s">
        <v>155</v>
      </c>
      <c r="E230" t="s">
        <v>32</v>
      </c>
      <c r="F230" t="s">
        <v>307</v>
      </c>
      <c r="G230">
        <v>499000</v>
      </c>
      <c r="H230" t="s">
        <v>153</v>
      </c>
      <c r="I230" t="s">
        <v>67</v>
      </c>
    </row>
    <row r="231" spans="1:9">
      <c r="A231" s="49">
        <v>46070</v>
      </c>
      <c r="B231" s="50">
        <v>0.9000231481481481</v>
      </c>
      <c r="C231" t="s">
        <v>155</v>
      </c>
      <c r="D231" t="s">
        <v>155</v>
      </c>
      <c r="E231" t="s">
        <v>32</v>
      </c>
      <c r="F231" t="s">
        <v>308</v>
      </c>
      <c r="G231">
        <v>499000</v>
      </c>
      <c r="H231" t="s">
        <v>153</v>
      </c>
      <c r="I231" t="s">
        <v>67</v>
      </c>
    </row>
    <row r="232" spans="1:9">
      <c r="A232" s="49">
        <v>46070</v>
      </c>
      <c r="B232" s="50">
        <v>0.5862962962962963</v>
      </c>
      <c r="C232" t="s">
        <v>150</v>
      </c>
      <c r="D232" t="s">
        <v>48</v>
      </c>
      <c r="E232" t="s">
        <v>185</v>
      </c>
      <c r="F232" t="s">
        <v>309</v>
      </c>
      <c r="G232">
        <v>-2000</v>
      </c>
      <c r="H232" t="s">
        <v>153</v>
      </c>
      <c r="I232" t="s">
        <v>154</v>
      </c>
    </row>
    <row r="233" spans="1:9">
      <c r="A233" s="49">
        <v>46070</v>
      </c>
      <c r="B233" s="50">
        <v>0.509988425925926</v>
      </c>
      <c r="C233" t="s">
        <v>150</v>
      </c>
      <c r="D233" t="s">
        <v>44</v>
      </c>
      <c r="E233" t="s">
        <v>162</v>
      </c>
      <c r="F233" t="s">
        <v>283</v>
      </c>
      <c r="G233">
        <v>16800</v>
      </c>
      <c r="H233" t="s">
        <v>153</v>
      </c>
      <c r="I233" t="s">
        <v>164</v>
      </c>
    </row>
    <row r="234" spans="1:9">
      <c r="A234" s="49">
        <v>46070</v>
      </c>
      <c r="B234" s="50">
        <v>0.4862615740740741</v>
      </c>
      <c r="C234" t="s">
        <v>167</v>
      </c>
      <c r="D234" t="s">
        <v>29</v>
      </c>
      <c r="E234" t="s">
        <v>32</v>
      </c>
      <c r="F234" t="s">
        <v>302</v>
      </c>
      <c r="G234">
        <v>200000</v>
      </c>
      <c r="H234" t="s">
        <v>153</v>
      </c>
      <c r="I234" t="s">
        <v>64</v>
      </c>
    </row>
    <row r="235" spans="1:9">
      <c r="A235" s="49">
        <v>46069</v>
      </c>
      <c r="B235" s="50">
        <v>0.5872800925925926</v>
      </c>
      <c r="C235" t="s">
        <v>155</v>
      </c>
      <c r="D235" t="s">
        <v>155</v>
      </c>
      <c r="E235" t="s">
        <v>32</v>
      </c>
      <c r="F235" t="s">
        <v>156</v>
      </c>
      <c r="G235">
        <v>150000</v>
      </c>
      <c r="H235" t="s">
        <v>153</v>
      </c>
      <c r="I235" t="s">
        <v>157</v>
      </c>
    </row>
    <row r="236" spans="1:9">
      <c r="A236" s="49">
        <v>46069</v>
      </c>
      <c r="B236" s="50">
        <v>0.5703819444444445</v>
      </c>
      <c r="C236" t="s">
        <v>155</v>
      </c>
      <c r="D236" t="s">
        <v>155</v>
      </c>
      <c r="E236" t="s">
        <v>32</v>
      </c>
      <c r="F236" t="s">
        <v>310</v>
      </c>
      <c r="G236">
        <v>1</v>
      </c>
      <c r="H236" t="s">
        <v>153</v>
      </c>
      <c r="I236" t="s">
        <v>64</v>
      </c>
    </row>
    <row r="237" spans="1:9">
      <c r="A237" s="49">
        <v>46069</v>
      </c>
      <c r="B237" s="50">
        <v>0.5670023148148148</v>
      </c>
      <c r="C237" t="s">
        <v>155</v>
      </c>
      <c r="D237" t="s">
        <v>155</v>
      </c>
      <c r="E237" t="s">
        <v>32</v>
      </c>
      <c r="F237" t="s">
        <v>235</v>
      </c>
      <c r="G237">
        <v>-300000</v>
      </c>
      <c r="H237" t="s">
        <v>153</v>
      </c>
      <c r="I237" t="s">
        <v>64</v>
      </c>
    </row>
    <row r="238" spans="1:9">
      <c r="A238" s="49">
        <v>46069</v>
      </c>
      <c r="B238" s="50">
        <v>0.5426041666666667</v>
      </c>
      <c r="C238" t="s">
        <v>150</v>
      </c>
      <c r="D238" t="s">
        <v>49</v>
      </c>
      <c r="E238" t="s">
        <v>304</v>
      </c>
      <c r="F238" t="s">
        <v>305</v>
      </c>
      <c r="G238">
        <v>-13000</v>
      </c>
      <c r="H238" t="s">
        <v>153</v>
      </c>
      <c r="I238" t="s">
        <v>154</v>
      </c>
    </row>
    <row r="239" spans="1:9">
      <c r="A239" s="49">
        <v>46069</v>
      </c>
      <c r="B239" s="50">
        <v>0.5257407407407407</v>
      </c>
      <c r="C239" t="s">
        <v>155</v>
      </c>
      <c r="D239" t="s">
        <v>155</v>
      </c>
      <c r="E239" t="s">
        <v>32</v>
      </c>
      <c r="F239" t="s">
        <v>311</v>
      </c>
      <c r="G239">
        <v>499000</v>
      </c>
      <c r="H239" t="s">
        <v>153</v>
      </c>
      <c r="I239" t="s">
        <v>67</v>
      </c>
    </row>
    <row r="240" spans="1:9">
      <c r="A240" s="49">
        <v>46069</v>
      </c>
      <c r="B240" s="50">
        <v>0.5040972222222222</v>
      </c>
      <c r="C240" t="s">
        <v>155</v>
      </c>
      <c r="D240" t="s">
        <v>155</v>
      </c>
      <c r="E240" t="s">
        <v>32</v>
      </c>
      <c r="F240" t="s">
        <v>312</v>
      </c>
      <c r="G240">
        <v>499000</v>
      </c>
      <c r="H240" t="s">
        <v>153</v>
      </c>
      <c r="I240" t="s">
        <v>67</v>
      </c>
    </row>
    <row r="241" spans="1:9">
      <c r="A241" s="49">
        <v>46069</v>
      </c>
      <c r="B241" s="50">
        <v>0.4032523148148148</v>
      </c>
      <c r="C241" t="s">
        <v>155</v>
      </c>
      <c r="D241" t="s">
        <v>155</v>
      </c>
      <c r="E241" t="s">
        <v>32</v>
      </c>
      <c r="F241" t="s">
        <v>313</v>
      </c>
      <c r="G241">
        <v>499000</v>
      </c>
      <c r="H241" t="s">
        <v>153</v>
      </c>
      <c r="I241" t="s">
        <v>67</v>
      </c>
    </row>
    <row r="242" spans="1:9">
      <c r="A242" s="49">
        <v>46068</v>
      </c>
      <c r="B242" s="50">
        <v>0.4647453703703704</v>
      </c>
      <c r="C242" t="s">
        <v>150</v>
      </c>
      <c r="D242" t="s">
        <v>44</v>
      </c>
      <c r="E242" t="s">
        <v>162</v>
      </c>
      <c r="F242" t="s">
        <v>166</v>
      </c>
      <c r="G242">
        <v>-28800</v>
      </c>
      <c r="H242" t="s">
        <v>153</v>
      </c>
      <c r="I242" t="s">
        <v>154</v>
      </c>
    </row>
    <row r="243" spans="1:9">
      <c r="A243" s="49">
        <v>46067</v>
      </c>
      <c r="B243" s="50">
        <v>0.8086805555555555</v>
      </c>
      <c r="C243" t="s">
        <v>150</v>
      </c>
      <c r="D243" t="s">
        <v>35</v>
      </c>
      <c r="E243" t="s">
        <v>174</v>
      </c>
      <c r="F243" t="s">
        <v>314</v>
      </c>
      <c r="G243">
        <v>-10000</v>
      </c>
      <c r="H243" t="s">
        <v>153</v>
      </c>
      <c r="I243" t="s">
        <v>64</v>
      </c>
    </row>
    <row r="244" spans="1:9">
      <c r="A244" s="49">
        <v>46067</v>
      </c>
      <c r="B244" s="50">
        <v>0.6776041666666667</v>
      </c>
      <c r="C244" t="s">
        <v>150</v>
      </c>
      <c r="D244" t="s">
        <v>44</v>
      </c>
      <c r="E244" t="s">
        <v>315</v>
      </c>
      <c r="F244" t="s">
        <v>316</v>
      </c>
      <c r="G244">
        <v>29000</v>
      </c>
      <c r="H244" t="s">
        <v>153</v>
      </c>
      <c r="I244" t="s">
        <v>164</v>
      </c>
    </row>
    <row r="245" spans="1:9">
      <c r="A245" s="49">
        <v>46067</v>
      </c>
      <c r="B245" s="50">
        <v>0.4892939814814815</v>
      </c>
      <c r="C245" t="s">
        <v>155</v>
      </c>
      <c r="D245" t="s">
        <v>155</v>
      </c>
      <c r="E245" t="s">
        <v>32</v>
      </c>
      <c r="F245" t="s">
        <v>317</v>
      </c>
      <c r="G245">
        <v>499000</v>
      </c>
      <c r="H245" t="s">
        <v>153</v>
      </c>
      <c r="I245" t="s">
        <v>67</v>
      </c>
    </row>
    <row r="246" spans="1:9">
      <c r="A246" s="49">
        <v>46067</v>
      </c>
      <c r="B246" s="50">
        <v>0.4725</v>
      </c>
      <c r="C246" t="s">
        <v>155</v>
      </c>
      <c r="D246" t="s">
        <v>155</v>
      </c>
      <c r="E246" t="s">
        <v>32</v>
      </c>
      <c r="F246" t="s">
        <v>246</v>
      </c>
      <c r="G246">
        <v>-100000</v>
      </c>
      <c r="H246" t="s">
        <v>153</v>
      </c>
      <c r="I246" t="s">
        <v>64</v>
      </c>
    </row>
    <row r="247" spans="1:9">
      <c r="A247" s="49">
        <v>46067</v>
      </c>
      <c r="B247" s="50">
        <v>0.3944097222222222</v>
      </c>
      <c r="C247" t="s">
        <v>150</v>
      </c>
      <c r="D247" t="s">
        <v>44</v>
      </c>
      <c r="E247" t="s">
        <v>162</v>
      </c>
      <c r="F247" t="s">
        <v>163</v>
      </c>
      <c r="G247">
        <v>-3900</v>
      </c>
      <c r="H247" t="s">
        <v>153</v>
      </c>
      <c r="I247" t="s">
        <v>164</v>
      </c>
    </row>
    <row r="248" spans="1:9">
      <c r="A248" s="49">
        <v>46067</v>
      </c>
      <c r="B248" s="50">
        <v>0.04283564814814815</v>
      </c>
      <c r="C248" t="s">
        <v>150</v>
      </c>
      <c r="D248" t="s">
        <v>44</v>
      </c>
      <c r="E248" t="s">
        <v>162</v>
      </c>
      <c r="F248" t="s">
        <v>255</v>
      </c>
      <c r="G248">
        <v>-449000</v>
      </c>
      <c r="H248" t="s">
        <v>153</v>
      </c>
      <c r="I248" t="s">
        <v>154</v>
      </c>
    </row>
    <row r="249" spans="1:9">
      <c r="A249" s="49">
        <v>46066</v>
      </c>
      <c r="B249" s="50">
        <v>0.7391782407407408</v>
      </c>
      <c r="C249" t="s">
        <v>150</v>
      </c>
      <c r="D249" t="s">
        <v>44</v>
      </c>
      <c r="E249" t="s">
        <v>162</v>
      </c>
      <c r="F249" t="s">
        <v>163</v>
      </c>
      <c r="G249">
        <v>-145000</v>
      </c>
      <c r="H249" t="s">
        <v>153</v>
      </c>
      <c r="I249" t="s">
        <v>164</v>
      </c>
    </row>
    <row r="250" spans="1:9">
      <c r="A250" s="49">
        <v>46066</v>
      </c>
      <c r="B250" s="50">
        <v>0.5126967592592593</v>
      </c>
      <c r="C250" t="s">
        <v>150</v>
      </c>
      <c r="D250" t="s">
        <v>48</v>
      </c>
      <c r="E250" t="s">
        <v>196</v>
      </c>
      <c r="F250" t="s">
        <v>197</v>
      </c>
      <c r="G250">
        <v>-4000</v>
      </c>
      <c r="H250" t="s">
        <v>153</v>
      </c>
      <c r="I250" t="s">
        <v>154</v>
      </c>
    </row>
    <row r="251" spans="1:9">
      <c r="A251" s="49">
        <v>46066</v>
      </c>
      <c r="B251" s="50">
        <v>0.5108449074074074</v>
      </c>
      <c r="C251" t="s">
        <v>150</v>
      </c>
      <c r="D251" t="s">
        <v>48</v>
      </c>
      <c r="E251" t="s">
        <v>196</v>
      </c>
      <c r="F251" t="s">
        <v>197</v>
      </c>
      <c r="G251">
        <v>-13000</v>
      </c>
      <c r="H251" t="s">
        <v>153</v>
      </c>
      <c r="I251" t="s">
        <v>154</v>
      </c>
    </row>
    <row r="252" spans="1:9">
      <c r="A252" s="49">
        <v>46066</v>
      </c>
      <c r="B252" s="50">
        <v>0.510462962962963</v>
      </c>
      <c r="C252" t="s">
        <v>150</v>
      </c>
      <c r="D252" t="s">
        <v>48</v>
      </c>
      <c r="E252" t="s">
        <v>196</v>
      </c>
      <c r="F252" t="s">
        <v>197</v>
      </c>
      <c r="G252">
        <v>-13000</v>
      </c>
      <c r="H252" t="s">
        <v>153</v>
      </c>
      <c r="I252" t="s">
        <v>154</v>
      </c>
    </row>
    <row r="253" spans="1:9">
      <c r="A253" s="49">
        <v>46066</v>
      </c>
      <c r="B253" s="50">
        <v>0.02342592592592593</v>
      </c>
      <c r="C253" t="s">
        <v>150</v>
      </c>
      <c r="D253" t="s">
        <v>48</v>
      </c>
      <c r="E253" t="s">
        <v>185</v>
      </c>
      <c r="F253" t="s">
        <v>199</v>
      </c>
      <c r="G253">
        <v>-3000</v>
      </c>
      <c r="H253" t="s">
        <v>153</v>
      </c>
      <c r="I253" t="s">
        <v>164</v>
      </c>
    </row>
    <row r="254" spans="1:9">
      <c r="A254" s="49">
        <v>46065</v>
      </c>
      <c r="B254" s="50">
        <v>0.9912615740740741</v>
      </c>
      <c r="C254" t="s">
        <v>155</v>
      </c>
      <c r="D254" t="s">
        <v>155</v>
      </c>
      <c r="E254" t="s">
        <v>32</v>
      </c>
      <c r="F254" t="s">
        <v>318</v>
      </c>
      <c r="G254">
        <v>499000</v>
      </c>
      <c r="H254" t="s">
        <v>153</v>
      </c>
      <c r="I254" t="s">
        <v>67</v>
      </c>
    </row>
    <row r="255" spans="1:9">
      <c r="A255" s="49">
        <v>46065</v>
      </c>
      <c r="B255" s="50">
        <v>0.9164699074074074</v>
      </c>
      <c r="C255" t="s">
        <v>155</v>
      </c>
      <c r="D255" t="s">
        <v>155</v>
      </c>
      <c r="E255" t="s">
        <v>32</v>
      </c>
      <c r="F255" t="s">
        <v>319</v>
      </c>
      <c r="G255">
        <v>500000</v>
      </c>
      <c r="H255" t="s">
        <v>153</v>
      </c>
      <c r="I255" t="s">
        <v>67</v>
      </c>
    </row>
    <row r="256" spans="1:9">
      <c r="A256" s="49">
        <v>46065</v>
      </c>
      <c r="B256" s="50">
        <v>0.8726967592592593</v>
      </c>
      <c r="C256" t="s">
        <v>150</v>
      </c>
      <c r="D256" t="s">
        <v>44</v>
      </c>
      <c r="E256" t="s">
        <v>225</v>
      </c>
      <c r="F256" t="s">
        <v>228</v>
      </c>
      <c r="G256">
        <v>-15585</v>
      </c>
      <c r="H256" t="s">
        <v>153</v>
      </c>
      <c r="I256" t="s">
        <v>214</v>
      </c>
    </row>
    <row r="257" spans="1:9">
      <c r="A257" s="49">
        <v>46065</v>
      </c>
      <c r="B257" s="50">
        <v>0.8052893518518518</v>
      </c>
      <c r="C257" t="s">
        <v>155</v>
      </c>
      <c r="D257" t="s">
        <v>155</v>
      </c>
      <c r="E257" t="s">
        <v>32</v>
      </c>
      <c r="F257" t="s">
        <v>320</v>
      </c>
      <c r="G257">
        <v>499000</v>
      </c>
      <c r="H257" t="s">
        <v>153</v>
      </c>
      <c r="I257" t="s">
        <v>67</v>
      </c>
    </row>
    <row r="258" spans="1:9">
      <c r="A258" s="49">
        <v>46065</v>
      </c>
      <c r="B258" s="50">
        <v>0.800324074074074</v>
      </c>
      <c r="C258" t="s">
        <v>150</v>
      </c>
      <c r="D258" t="s">
        <v>48</v>
      </c>
      <c r="E258" t="s">
        <v>196</v>
      </c>
      <c r="F258" t="s">
        <v>197</v>
      </c>
      <c r="G258">
        <v>-7000</v>
      </c>
      <c r="H258" t="s">
        <v>153</v>
      </c>
      <c r="I258" t="s">
        <v>154</v>
      </c>
    </row>
    <row r="259" spans="1:9">
      <c r="A259" s="49">
        <v>46065</v>
      </c>
      <c r="B259" s="50">
        <v>0.6750347222222223</v>
      </c>
      <c r="C259" t="s">
        <v>155</v>
      </c>
      <c r="D259" t="s">
        <v>155</v>
      </c>
      <c r="E259" t="s">
        <v>32</v>
      </c>
      <c r="F259" t="s">
        <v>321</v>
      </c>
      <c r="G259">
        <v>499000</v>
      </c>
      <c r="H259" t="s">
        <v>153</v>
      </c>
      <c r="I259" t="s">
        <v>67</v>
      </c>
    </row>
    <row r="260" spans="1:9">
      <c r="A260" s="49">
        <v>46065</v>
      </c>
      <c r="B260" s="50">
        <v>0.3755092592592593</v>
      </c>
      <c r="C260" t="s">
        <v>150</v>
      </c>
      <c r="D260" t="s">
        <v>34</v>
      </c>
      <c r="E260" t="s">
        <v>322</v>
      </c>
      <c r="F260" t="s">
        <v>323</v>
      </c>
      <c r="G260">
        <v>-109890</v>
      </c>
      <c r="H260" t="s">
        <v>153</v>
      </c>
      <c r="I260" t="s">
        <v>214</v>
      </c>
    </row>
    <row r="261" spans="1:9">
      <c r="A261" s="49">
        <v>46065</v>
      </c>
      <c r="B261" s="50">
        <v>0.03013888888888889</v>
      </c>
      <c r="C261" t="s">
        <v>150</v>
      </c>
      <c r="D261" t="s">
        <v>35</v>
      </c>
      <c r="E261" t="s">
        <v>174</v>
      </c>
      <c r="F261" t="s">
        <v>314</v>
      </c>
      <c r="G261">
        <v>-10000</v>
      </c>
      <c r="H261" t="s">
        <v>153</v>
      </c>
      <c r="I261" t="s">
        <v>64</v>
      </c>
    </row>
    <row r="262" spans="1:9">
      <c r="A262" s="49">
        <v>46064</v>
      </c>
      <c r="B262" s="50">
        <v>0.6964583333333333</v>
      </c>
      <c r="C262" t="s">
        <v>155</v>
      </c>
      <c r="D262" t="s">
        <v>155</v>
      </c>
      <c r="E262" t="s">
        <v>32</v>
      </c>
      <c r="F262" t="s">
        <v>324</v>
      </c>
      <c r="G262">
        <v>499000</v>
      </c>
      <c r="H262" t="s">
        <v>153</v>
      </c>
      <c r="I262" t="s">
        <v>67</v>
      </c>
    </row>
    <row r="263" spans="1:9">
      <c r="A263" s="49">
        <v>46064</v>
      </c>
      <c r="B263" s="50">
        <v>0.02398148148148148</v>
      </c>
      <c r="C263" t="s">
        <v>155</v>
      </c>
      <c r="D263" t="s">
        <v>155</v>
      </c>
      <c r="E263" t="s">
        <v>32</v>
      </c>
      <c r="F263" t="s">
        <v>325</v>
      </c>
      <c r="G263">
        <v>39500</v>
      </c>
      <c r="H263" t="s">
        <v>153</v>
      </c>
      <c r="I263" t="s">
        <v>64</v>
      </c>
    </row>
    <row r="264" spans="1:9">
      <c r="A264" s="49">
        <v>46063</v>
      </c>
      <c r="B264" s="50">
        <v>0.979363425925926</v>
      </c>
      <c r="C264" t="s">
        <v>155</v>
      </c>
      <c r="D264" t="s">
        <v>155</v>
      </c>
      <c r="E264" t="s">
        <v>32</v>
      </c>
      <c r="F264" t="s">
        <v>326</v>
      </c>
      <c r="G264">
        <v>39500</v>
      </c>
      <c r="H264" t="s">
        <v>153</v>
      </c>
      <c r="I264" t="s">
        <v>64</v>
      </c>
    </row>
    <row r="265" spans="1:9">
      <c r="A265" s="49">
        <v>46063</v>
      </c>
      <c r="B265" s="50">
        <v>0.9710532407407407</v>
      </c>
      <c r="C265" t="s">
        <v>155</v>
      </c>
      <c r="D265" t="s">
        <v>155</v>
      </c>
      <c r="E265" t="s">
        <v>32</v>
      </c>
      <c r="F265" t="s">
        <v>235</v>
      </c>
      <c r="G265">
        <v>44500</v>
      </c>
      <c r="H265" t="s">
        <v>153</v>
      </c>
      <c r="I265" t="s">
        <v>64</v>
      </c>
    </row>
    <row r="266" spans="1:9">
      <c r="A266" s="49">
        <v>46063</v>
      </c>
      <c r="B266" s="50">
        <v>0.9610879629629629</v>
      </c>
      <c r="C266" t="s">
        <v>155</v>
      </c>
      <c r="D266" t="s">
        <v>155</v>
      </c>
      <c r="E266" t="s">
        <v>32</v>
      </c>
      <c r="F266" t="s">
        <v>327</v>
      </c>
      <c r="G266">
        <v>44500</v>
      </c>
      <c r="H266" t="s">
        <v>153</v>
      </c>
      <c r="I266" t="s">
        <v>64</v>
      </c>
    </row>
    <row r="267" spans="1:9">
      <c r="A267" s="49">
        <v>46063</v>
      </c>
      <c r="B267" s="50">
        <v>0.9548148148148148</v>
      </c>
      <c r="C267" t="s">
        <v>155</v>
      </c>
      <c r="D267" t="s">
        <v>155</v>
      </c>
      <c r="E267" t="s">
        <v>32</v>
      </c>
      <c r="F267" t="s">
        <v>328</v>
      </c>
      <c r="G267">
        <v>39500</v>
      </c>
      <c r="H267" t="s">
        <v>153</v>
      </c>
      <c r="I267" t="s">
        <v>64</v>
      </c>
    </row>
    <row r="268" spans="1:9">
      <c r="A268" s="49">
        <v>46063</v>
      </c>
      <c r="B268" s="50">
        <v>0.9519675925925926</v>
      </c>
      <c r="C268" t="s">
        <v>155</v>
      </c>
      <c r="D268" t="s">
        <v>155</v>
      </c>
      <c r="E268" t="s">
        <v>32</v>
      </c>
      <c r="F268" t="s">
        <v>329</v>
      </c>
      <c r="G268">
        <v>499000</v>
      </c>
      <c r="H268" t="s">
        <v>153</v>
      </c>
      <c r="I268" t="s">
        <v>67</v>
      </c>
    </row>
    <row r="269" spans="1:9">
      <c r="A269" s="49">
        <v>46063</v>
      </c>
      <c r="B269" s="50">
        <v>0.9500694444444444</v>
      </c>
      <c r="C269" t="s">
        <v>155</v>
      </c>
      <c r="D269" t="s">
        <v>155</v>
      </c>
      <c r="E269" t="s">
        <v>32</v>
      </c>
      <c r="F269" t="s">
        <v>330</v>
      </c>
      <c r="G269">
        <v>44500</v>
      </c>
      <c r="H269" t="s">
        <v>153</v>
      </c>
      <c r="I269" t="s">
        <v>64</v>
      </c>
    </row>
    <row r="270" spans="1:9">
      <c r="A270" s="49">
        <v>46063</v>
      </c>
      <c r="B270" s="50">
        <v>0.9454398148148148</v>
      </c>
      <c r="C270" t="s">
        <v>155</v>
      </c>
      <c r="D270" t="s">
        <v>155</v>
      </c>
      <c r="E270" t="s">
        <v>32</v>
      </c>
      <c r="F270" t="s">
        <v>331</v>
      </c>
      <c r="G270">
        <v>39500</v>
      </c>
      <c r="H270" t="s">
        <v>153</v>
      </c>
      <c r="I270" t="s">
        <v>64</v>
      </c>
    </row>
    <row r="271" spans="1:9">
      <c r="A271" s="49">
        <v>46063</v>
      </c>
      <c r="B271" s="50">
        <v>0.8795138888888889</v>
      </c>
      <c r="C271" t="s">
        <v>155</v>
      </c>
      <c r="D271" t="s">
        <v>158</v>
      </c>
      <c r="E271" t="s">
        <v>32</v>
      </c>
      <c r="F271" t="s">
        <v>7</v>
      </c>
      <c r="G271">
        <v>9700</v>
      </c>
      <c r="H271" t="s">
        <v>153</v>
      </c>
      <c r="I271" t="s">
        <v>64</v>
      </c>
    </row>
    <row r="272" spans="1:9">
      <c r="A272" s="49">
        <v>46063</v>
      </c>
      <c r="B272" s="50">
        <v>0.7950115740740741</v>
      </c>
      <c r="C272" t="s">
        <v>150</v>
      </c>
      <c r="D272" t="s">
        <v>35</v>
      </c>
      <c r="E272" t="s">
        <v>174</v>
      </c>
      <c r="F272" t="s">
        <v>175</v>
      </c>
      <c r="G272">
        <v>-9700</v>
      </c>
      <c r="H272" t="s">
        <v>153</v>
      </c>
      <c r="I272" t="s">
        <v>154</v>
      </c>
    </row>
    <row r="273" spans="1:9">
      <c r="A273" s="49">
        <v>46063</v>
      </c>
      <c r="B273" s="50">
        <v>0.7730902777777777</v>
      </c>
      <c r="C273" t="s">
        <v>155</v>
      </c>
      <c r="D273" t="s">
        <v>155</v>
      </c>
      <c r="E273" t="s">
        <v>32</v>
      </c>
      <c r="F273" t="s">
        <v>332</v>
      </c>
      <c r="G273">
        <v>44500</v>
      </c>
      <c r="H273" t="s">
        <v>153</v>
      </c>
      <c r="I273" t="s">
        <v>64</v>
      </c>
    </row>
    <row r="274" spans="1:9">
      <c r="A274" s="49">
        <v>46063</v>
      </c>
      <c r="B274" s="50">
        <v>0.7704745370370371</v>
      </c>
      <c r="C274" t="s">
        <v>150</v>
      </c>
      <c r="D274" t="s">
        <v>35</v>
      </c>
      <c r="E274" t="s">
        <v>174</v>
      </c>
      <c r="F274" t="s">
        <v>176</v>
      </c>
      <c r="G274">
        <v>10300</v>
      </c>
      <c r="H274" t="s">
        <v>153</v>
      </c>
      <c r="I274" t="s">
        <v>154</v>
      </c>
    </row>
    <row r="275" spans="1:9">
      <c r="A275" s="49">
        <v>46063</v>
      </c>
      <c r="B275" s="50">
        <v>0.770462962962963</v>
      </c>
      <c r="C275" t="s">
        <v>150</v>
      </c>
      <c r="D275" t="s">
        <v>35</v>
      </c>
      <c r="E275" t="s">
        <v>174</v>
      </c>
      <c r="F275" t="s">
        <v>176</v>
      </c>
      <c r="G275">
        <v>-10300</v>
      </c>
      <c r="H275" t="s">
        <v>153</v>
      </c>
      <c r="I275" t="s">
        <v>154</v>
      </c>
    </row>
    <row r="276" spans="1:9">
      <c r="A276" s="49">
        <v>46063</v>
      </c>
      <c r="B276" s="50">
        <v>0.7694791666666667</v>
      </c>
      <c r="C276" t="s">
        <v>155</v>
      </c>
      <c r="D276" t="s">
        <v>155</v>
      </c>
      <c r="E276" t="s">
        <v>32</v>
      </c>
      <c r="F276" t="s">
        <v>333</v>
      </c>
      <c r="G276">
        <v>39500</v>
      </c>
      <c r="H276" t="s">
        <v>153</v>
      </c>
      <c r="I276" t="s">
        <v>64</v>
      </c>
    </row>
    <row r="277" spans="1:9">
      <c r="A277" s="49">
        <v>46063</v>
      </c>
      <c r="B277" s="50">
        <v>0.7618287037037037</v>
      </c>
      <c r="C277" t="s">
        <v>155</v>
      </c>
      <c r="D277" t="s">
        <v>70</v>
      </c>
      <c r="E277" t="s">
        <v>32</v>
      </c>
      <c r="F277" t="s">
        <v>238</v>
      </c>
      <c r="G277">
        <v>-30600</v>
      </c>
      <c r="H277" t="s">
        <v>153</v>
      </c>
      <c r="I277" t="s">
        <v>64</v>
      </c>
    </row>
    <row r="278" spans="1:9">
      <c r="A278" s="49">
        <v>46063</v>
      </c>
      <c r="B278" s="50">
        <v>0.7585532407407407</v>
      </c>
      <c r="C278" t="s">
        <v>155</v>
      </c>
      <c r="D278" t="s">
        <v>155</v>
      </c>
      <c r="E278" t="s">
        <v>32</v>
      </c>
      <c r="F278" t="s">
        <v>334</v>
      </c>
      <c r="G278">
        <v>44500</v>
      </c>
      <c r="H278" t="s">
        <v>153</v>
      </c>
      <c r="I278" t="s">
        <v>64</v>
      </c>
    </row>
    <row r="279" spans="1:9">
      <c r="A279" s="49">
        <v>46063</v>
      </c>
      <c r="B279" s="50">
        <v>0.6242129629629629</v>
      </c>
      <c r="C279" t="s">
        <v>155</v>
      </c>
      <c r="D279" t="s">
        <v>155</v>
      </c>
      <c r="E279" t="s">
        <v>32</v>
      </c>
      <c r="F279" t="s">
        <v>335</v>
      </c>
      <c r="G279">
        <v>499000</v>
      </c>
      <c r="H279" t="s">
        <v>153</v>
      </c>
      <c r="I279" t="s">
        <v>67</v>
      </c>
    </row>
    <row r="280" spans="1:9">
      <c r="A280" s="49">
        <v>46063</v>
      </c>
      <c r="B280" s="50">
        <v>0.6068171296296296</v>
      </c>
      <c r="C280" t="s">
        <v>155</v>
      </c>
      <c r="D280" t="s">
        <v>155</v>
      </c>
      <c r="E280" t="s">
        <v>32</v>
      </c>
      <c r="F280" t="s">
        <v>235</v>
      </c>
      <c r="G280">
        <v>930415</v>
      </c>
      <c r="H280" t="s">
        <v>153</v>
      </c>
      <c r="I280" t="s">
        <v>64</v>
      </c>
    </row>
    <row r="281" spans="1:9">
      <c r="A281" s="49">
        <v>46063</v>
      </c>
      <c r="B281" s="50">
        <v>0.6041666666666666</v>
      </c>
      <c r="C281" t="s">
        <v>155</v>
      </c>
      <c r="D281" t="s">
        <v>155</v>
      </c>
      <c r="E281" t="s">
        <v>32</v>
      </c>
      <c r="F281" t="s">
        <v>235</v>
      </c>
      <c r="G281">
        <v>1296746</v>
      </c>
      <c r="H281" t="s">
        <v>153</v>
      </c>
      <c r="I281" t="s">
        <v>64</v>
      </c>
    </row>
    <row r="282" spans="1:9">
      <c r="A282" s="49">
        <v>46063</v>
      </c>
      <c r="B282" s="50">
        <v>0.5040972222222222</v>
      </c>
      <c r="C282" t="s">
        <v>155</v>
      </c>
      <c r="D282" t="s">
        <v>158</v>
      </c>
      <c r="E282" t="s">
        <v>32</v>
      </c>
      <c r="F282" t="s">
        <v>159</v>
      </c>
      <c r="G282">
        <v>2000000</v>
      </c>
      <c r="H282" t="s">
        <v>153</v>
      </c>
      <c r="I282" t="s">
        <v>157</v>
      </c>
    </row>
    <row r="283" spans="1:9">
      <c r="A283" s="49">
        <v>46063</v>
      </c>
      <c r="B283" s="50">
        <v>0.5040972222222222</v>
      </c>
      <c r="C283" t="s">
        <v>155</v>
      </c>
      <c r="D283" t="s">
        <v>158</v>
      </c>
      <c r="E283" t="s">
        <v>32</v>
      </c>
      <c r="F283" t="s">
        <v>159</v>
      </c>
      <c r="G283">
        <v>2000000</v>
      </c>
      <c r="H283" t="s">
        <v>153</v>
      </c>
      <c r="I283" t="s">
        <v>157</v>
      </c>
    </row>
    <row r="284" spans="1:9">
      <c r="A284" s="49">
        <v>46063</v>
      </c>
      <c r="B284" s="50">
        <v>0.5040972222222222</v>
      </c>
      <c r="C284" t="s">
        <v>155</v>
      </c>
      <c r="D284" t="s">
        <v>158</v>
      </c>
      <c r="E284" t="s">
        <v>32</v>
      </c>
      <c r="F284" t="s">
        <v>160</v>
      </c>
      <c r="G284">
        <v>-2000000</v>
      </c>
      <c r="H284" t="s">
        <v>153</v>
      </c>
      <c r="I284" t="s">
        <v>64</v>
      </c>
    </row>
    <row r="285" spans="1:9">
      <c r="A285" s="49">
        <v>46063</v>
      </c>
      <c r="B285" s="50">
        <v>0.5040972222222222</v>
      </c>
      <c r="C285" t="s">
        <v>155</v>
      </c>
      <c r="D285" t="s">
        <v>158</v>
      </c>
      <c r="E285" t="s">
        <v>32</v>
      </c>
      <c r="F285" t="s">
        <v>160</v>
      </c>
      <c r="G285">
        <v>-2000000</v>
      </c>
      <c r="H285" t="s">
        <v>153</v>
      </c>
      <c r="I285" t="s">
        <v>64</v>
      </c>
    </row>
    <row r="286" spans="1:9">
      <c r="A286" s="49">
        <v>46063</v>
      </c>
      <c r="B286" s="50">
        <v>0.5040856481481482</v>
      </c>
      <c r="C286" t="s">
        <v>155</v>
      </c>
      <c r="D286" t="s">
        <v>158</v>
      </c>
      <c r="E286" t="s">
        <v>32</v>
      </c>
      <c r="F286" t="s">
        <v>159</v>
      </c>
      <c r="G286">
        <v>2000000</v>
      </c>
      <c r="H286" t="s">
        <v>153</v>
      </c>
      <c r="I286" t="s">
        <v>157</v>
      </c>
    </row>
    <row r="287" spans="1:9">
      <c r="A287" s="49">
        <v>46063</v>
      </c>
      <c r="B287" s="50">
        <v>0.5040856481481482</v>
      </c>
      <c r="C287" t="s">
        <v>155</v>
      </c>
      <c r="D287" t="s">
        <v>158</v>
      </c>
      <c r="E287" t="s">
        <v>32</v>
      </c>
      <c r="F287" t="s">
        <v>160</v>
      </c>
      <c r="G287">
        <v>-2000000</v>
      </c>
      <c r="H287" t="s">
        <v>153</v>
      </c>
      <c r="I287" t="s">
        <v>64</v>
      </c>
    </row>
    <row r="288" spans="1:9">
      <c r="A288" s="49">
        <v>46063</v>
      </c>
      <c r="B288" s="50">
        <v>0.5040856481481482</v>
      </c>
      <c r="C288" t="s">
        <v>155</v>
      </c>
      <c r="D288" t="s">
        <v>158</v>
      </c>
      <c r="E288" t="s">
        <v>32</v>
      </c>
      <c r="F288" t="s">
        <v>160</v>
      </c>
      <c r="G288">
        <v>-2000000</v>
      </c>
      <c r="H288" t="s">
        <v>153</v>
      </c>
      <c r="I288" t="s">
        <v>64</v>
      </c>
    </row>
    <row r="289" spans="1:9">
      <c r="A289" s="49">
        <v>46063</v>
      </c>
      <c r="B289" s="50">
        <v>0.5040740740740741</v>
      </c>
      <c r="C289" t="s">
        <v>155</v>
      </c>
      <c r="D289" t="s">
        <v>158</v>
      </c>
      <c r="E289" t="s">
        <v>32</v>
      </c>
      <c r="F289" t="s">
        <v>159</v>
      </c>
      <c r="G289">
        <v>2000000</v>
      </c>
      <c r="H289" t="s">
        <v>153</v>
      </c>
      <c r="I289" t="s">
        <v>157</v>
      </c>
    </row>
    <row r="290" spans="1:9">
      <c r="A290" s="49">
        <v>46063</v>
      </c>
      <c r="B290" s="50">
        <v>0.5040740740740741</v>
      </c>
      <c r="C290" t="s">
        <v>155</v>
      </c>
      <c r="D290" t="s">
        <v>158</v>
      </c>
      <c r="E290" t="s">
        <v>32</v>
      </c>
      <c r="F290" t="s">
        <v>159</v>
      </c>
      <c r="G290">
        <v>2000000</v>
      </c>
      <c r="H290" t="s">
        <v>153</v>
      </c>
      <c r="I290" t="s">
        <v>157</v>
      </c>
    </row>
    <row r="291" spans="1:9">
      <c r="A291" s="49">
        <v>46063</v>
      </c>
      <c r="B291" s="50">
        <v>0.5040740740740741</v>
      </c>
      <c r="C291" t="s">
        <v>155</v>
      </c>
      <c r="D291" t="s">
        <v>158</v>
      </c>
      <c r="E291" t="s">
        <v>32</v>
      </c>
      <c r="F291" t="s">
        <v>160</v>
      </c>
      <c r="G291">
        <v>-2000000</v>
      </c>
      <c r="H291" t="s">
        <v>153</v>
      </c>
      <c r="I291" t="s">
        <v>64</v>
      </c>
    </row>
    <row r="292" spans="1:9">
      <c r="A292" s="49">
        <v>46063</v>
      </c>
      <c r="B292" s="50">
        <v>0.4724884259259259</v>
      </c>
      <c r="C292" t="s">
        <v>167</v>
      </c>
      <c r="D292" t="s">
        <v>28</v>
      </c>
      <c r="E292" t="s">
        <v>32</v>
      </c>
      <c r="F292" t="s">
        <v>243</v>
      </c>
      <c r="G292">
        <v>6095</v>
      </c>
      <c r="H292" t="s">
        <v>153</v>
      </c>
      <c r="I292" t="s">
        <v>64</v>
      </c>
    </row>
    <row r="293" spans="1:9">
      <c r="A293" s="49">
        <v>46063</v>
      </c>
      <c r="B293" s="50">
        <v>0.4219560185185185</v>
      </c>
      <c r="C293" t="s">
        <v>155</v>
      </c>
      <c r="D293" t="s">
        <v>155</v>
      </c>
      <c r="E293" t="s">
        <v>32</v>
      </c>
      <c r="F293" t="s">
        <v>336</v>
      </c>
      <c r="G293">
        <v>39500</v>
      </c>
      <c r="H293" t="s">
        <v>153</v>
      </c>
      <c r="I293" t="s">
        <v>64</v>
      </c>
    </row>
    <row r="294" spans="1:9">
      <c r="A294" s="49">
        <v>46063</v>
      </c>
      <c r="B294" s="50">
        <v>0.4180439814814815</v>
      </c>
      <c r="C294" t="s">
        <v>155</v>
      </c>
      <c r="D294" t="s">
        <v>155</v>
      </c>
      <c r="E294" t="s">
        <v>32</v>
      </c>
      <c r="F294" t="s">
        <v>337</v>
      </c>
      <c r="G294">
        <v>39500</v>
      </c>
      <c r="H294" t="s">
        <v>153</v>
      </c>
      <c r="I294" t="s">
        <v>64</v>
      </c>
    </row>
    <row r="295" spans="1:9">
      <c r="A295" s="49">
        <v>46062</v>
      </c>
      <c r="B295" s="50">
        <v>0.7776736111111111</v>
      </c>
      <c r="C295" t="s">
        <v>150</v>
      </c>
      <c r="D295" t="s">
        <v>42</v>
      </c>
      <c r="E295" t="s">
        <v>151</v>
      </c>
      <c r="F295" t="s">
        <v>152</v>
      </c>
      <c r="G295">
        <v>-26900</v>
      </c>
      <c r="H295" t="s">
        <v>153</v>
      </c>
      <c r="I295" t="s">
        <v>64</v>
      </c>
    </row>
    <row r="296" spans="1:9">
      <c r="A296" s="49">
        <v>46062</v>
      </c>
      <c r="B296" s="50">
        <v>0.7767361111111111</v>
      </c>
      <c r="C296" t="s">
        <v>150</v>
      </c>
      <c r="D296" t="s">
        <v>44</v>
      </c>
      <c r="E296" t="s">
        <v>162</v>
      </c>
      <c r="F296" t="s">
        <v>283</v>
      </c>
      <c r="G296">
        <v>-12300</v>
      </c>
      <c r="H296" t="s">
        <v>153</v>
      </c>
      <c r="I296" t="s">
        <v>164</v>
      </c>
    </row>
    <row r="297" spans="1:9">
      <c r="A297" s="49">
        <v>46062</v>
      </c>
      <c r="B297" s="50">
        <v>0.7767361111111111</v>
      </c>
      <c r="C297" t="s">
        <v>150</v>
      </c>
      <c r="D297" t="s">
        <v>36</v>
      </c>
      <c r="E297" t="s">
        <v>266</v>
      </c>
      <c r="F297" t="s">
        <v>283</v>
      </c>
      <c r="G297">
        <v>-12300</v>
      </c>
      <c r="H297" t="s">
        <v>153</v>
      </c>
      <c r="I297" t="s">
        <v>157</v>
      </c>
    </row>
    <row r="298" spans="1:9">
      <c r="A298" s="49">
        <v>46062</v>
      </c>
      <c r="B298" s="50">
        <v>0.4778819444444444</v>
      </c>
      <c r="C298" t="s">
        <v>155</v>
      </c>
      <c r="D298" t="s">
        <v>158</v>
      </c>
      <c r="E298" t="s">
        <v>32</v>
      </c>
      <c r="F298" t="s">
        <v>159</v>
      </c>
      <c r="G298">
        <v>18460</v>
      </c>
      <c r="H298" t="s">
        <v>153</v>
      </c>
      <c r="I298" t="s">
        <v>157</v>
      </c>
    </row>
    <row r="299" spans="1:9">
      <c r="A299" s="49">
        <v>46062</v>
      </c>
      <c r="B299" s="50">
        <v>0.4778819444444444</v>
      </c>
      <c r="C299" t="s">
        <v>150</v>
      </c>
      <c r="D299" t="s">
        <v>36</v>
      </c>
      <c r="E299" t="s">
        <v>191</v>
      </c>
      <c r="F299" t="s">
        <v>192</v>
      </c>
      <c r="G299">
        <v>-18462</v>
      </c>
      <c r="H299" t="s">
        <v>153</v>
      </c>
      <c r="I299" t="s">
        <v>157</v>
      </c>
    </row>
    <row r="300" spans="1:9">
      <c r="A300" s="49">
        <v>46062</v>
      </c>
      <c r="B300" s="50">
        <v>0.4778819444444444</v>
      </c>
      <c r="C300" t="s">
        <v>155</v>
      </c>
      <c r="D300" t="s">
        <v>158</v>
      </c>
      <c r="E300" t="s">
        <v>32</v>
      </c>
      <c r="F300" t="s">
        <v>160</v>
      </c>
      <c r="G300">
        <v>-18460</v>
      </c>
      <c r="H300" t="s">
        <v>153</v>
      </c>
      <c r="I300" t="s">
        <v>64</v>
      </c>
    </row>
    <row r="301" spans="1:9">
      <c r="A301" s="49">
        <v>46062</v>
      </c>
      <c r="B301" s="50">
        <v>0.06608796296296296</v>
      </c>
      <c r="C301" t="s">
        <v>155</v>
      </c>
      <c r="D301" t="s">
        <v>155</v>
      </c>
      <c r="E301" t="s">
        <v>32</v>
      </c>
      <c r="F301" t="s">
        <v>338</v>
      </c>
      <c r="G301">
        <v>-167000</v>
      </c>
      <c r="H301" t="s">
        <v>153</v>
      </c>
      <c r="I301" t="s">
        <v>64</v>
      </c>
    </row>
    <row r="302" spans="1:9">
      <c r="A302" s="49">
        <v>46062</v>
      </c>
      <c r="B302" s="50">
        <v>0.01631944444444445</v>
      </c>
      <c r="C302" t="s">
        <v>155</v>
      </c>
      <c r="D302" t="s">
        <v>155</v>
      </c>
      <c r="E302" t="s">
        <v>32</v>
      </c>
      <c r="F302" t="s">
        <v>339</v>
      </c>
      <c r="G302">
        <v>-453000</v>
      </c>
      <c r="H302" t="s">
        <v>153</v>
      </c>
      <c r="I302" t="s">
        <v>64</v>
      </c>
    </row>
    <row r="303" spans="1:9">
      <c r="A303" s="49">
        <v>46062</v>
      </c>
      <c r="B303" s="50">
        <v>0.01582175925925926</v>
      </c>
      <c r="C303" t="s">
        <v>155</v>
      </c>
      <c r="D303" t="s">
        <v>158</v>
      </c>
      <c r="E303" t="s">
        <v>32</v>
      </c>
      <c r="F303" t="s">
        <v>7</v>
      </c>
      <c r="G303">
        <v>508000</v>
      </c>
      <c r="H303" t="s">
        <v>153</v>
      </c>
      <c r="I303" t="s">
        <v>64</v>
      </c>
    </row>
    <row r="304" spans="1:9">
      <c r="A304" s="49">
        <v>46062</v>
      </c>
      <c r="B304" s="50">
        <v>0.01581018518518518</v>
      </c>
      <c r="C304" t="s">
        <v>155</v>
      </c>
      <c r="D304" t="s">
        <v>158</v>
      </c>
      <c r="E304" t="s">
        <v>32</v>
      </c>
      <c r="F304" t="s">
        <v>159</v>
      </c>
      <c r="G304">
        <v>-508000</v>
      </c>
      <c r="H304" t="s">
        <v>153</v>
      </c>
      <c r="I304" t="s">
        <v>157</v>
      </c>
    </row>
    <row r="305" spans="1:9">
      <c r="A305" s="49">
        <v>46062</v>
      </c>
      <c r="B305" s="50">
        <v>0.01381944444444444</v>
      </c>
      <c r="C305" t="s">
        <v>155</v>
      </c>
      <c r="D305" t="s">
        <v>155</v>
      </c>
      <c r="E305" t="s">
        <v>32</v>
      </c>
      <c r="F305" t="s">
        <v>206</v>
      </c>
      <c r="G305">
        <v>500000</v>
      </c>
      <c r="H305" t="s">
        <v>153</v>
      </c>
      <c r="I305" t="s">
        <v>157</v>
      </c>
    </row>
    <row r="306" spans="1:9">
      <c r="A306" s="49">
        <v>46061</v>
      </c>
      <c r="B306" s="50">
        <v>0.9292476851851852</v>
      </c>
      <c r="C306" t="s">
        <v>155</v>
      </c>
      <c r="D306" t="s">
        <v>155</v>
      </c>
      <c r="E306" t="s">
        <v>32</v>
      </c>
      <c r="F306" t="s">
        <v>340</v>
      </c>
      <c r="G306">
        <v>-284000</v>
      </c>
      <c r="H306" t="s">
        <v>153</v>
      </c>
      <c r="I306" t="s">
        <v>64</v>
      </c>
    </row>
    <row r="307" spans="1:9">
      <c r="A307" s="49">
        <v>46061</v>
      </c>
      <c r="B307" s="50">
        <v>0.9193865740740741</v>
      </c>
      <c r="C307" t="s">
        <v>155</v>
      </c>
      <c r="D307" t="s">
        <v>155</v>
      </c>
      <c r="E307" t="s">
        <v>32</v>
      </c>
      <c r="F307" t="s">
        <v>341</v>
      </c>
      <c r="G307">
        <v>499000</v>
      </c>
      <c r="H307" t="s">
        <v>153</v>
      </c>
      <c r="I307" t="s">
        <v>67</v>
      </c>
    </row>
    <row r="308" spans="1:9">
      <c r="A308" s="49">
        <v>46061</v>
      </c>
      <c r="B308" s="50">
        <v>0.8102430555555555</v>
      </c>
      <c r="C308" t="s">
        <v>150</v>
      </c>
      <c r="D308" t="s">
        <v>36</v>
      </c>
      <c r="E308" t="s">
        <v>342</v>
      </c>
      <c r="F308" t="s">
        <v>343</v>
      </c>
      <c r="G308">
        <v>-533000</v>
      </c>
      <c r="H308" t="s">
        <v>153</v>
      </c>
      <c r="I308" t="s">
        <v>64</v>
      </c>
    </row>
    <row r="309" spans="1:9">
      <c r="A309" s="49">
        <v>46061</v>
      </c>
      <c r="B309" s="50">
        <v>0.6218287037037037</v>
      </c>
      <c r="C309" t="s">
        <v>155</v>
      </c>
      <c r="D309" t="s">
        <v>155</v>
      </c>
      <c r="E309" t="s">
        <v>32</v>
      </c>
      <c r="F309" t="s">
        <v>344</v>
      </c>
      <c r="G309">
        <v>499000</v>
      </c>
      <c r="H309" t="s">
        <v>153</v>
      </c>
      <c r="I309" t="s">
        <v>67</v>
      </c>
    </row>
    <row r="310" spans="1:9">
      <c r="A310" s="49">
        <v>46061</v>
      </c>
      <c r="B310" s="50">
        <v>0.4577199074074074</v>
      </c>
      <c r="C310" t="s">
        <v>150</v>
      </c>
      <c r="D310" t="s">
        <v>42</v>
      </c>
      <c r="E310" t="s">
        <v>151</v>
      </c>
      <c r="F310" t="s">
        <v>152</v>
      </c>
      <c r="G310">
        <v>-274141</v>
      </c>
      <c r="H310" t="s">
        <v>153</v>
      </c>
      <c r="I310" t="s">
        <v>64</v>
      </c>
    </row>
    <row r="311" spans="1:9">
      <c r="A311" s="49">
        <v>46061</v>
      </c>
      <c r="B311" s="50">
        <v>0.4561111111111111</v>
      </c>
      <c r="C311" t="s">
        <v>155</v>
      </c>
      <c r="D311" t="s">
        <v>32</v>
      </c>
      <c r="E311" t="s">
        <v>32</v>
      </c>
      <c r="F311" t="s">
        <v>152</v>
      </c>
      <c r="G311">
        <v>274400</v>
      </c>
      <c r="H311" t="s">
        <v>153</v>
      </c>
      <c r="I311" t="s">
        <v>64</v>
      </c>
    </row>
    <row r="312" spans="1:9">
      <c r="A312" s="49">
        <v>46061</v>
      </c>
      <c r="B312" s="50">
        <v>0.4538541666666667</v>
      </c>
      <c r="C312" t="s">
        <v>150</v>
      </c>
      <c r="D312" t="s">
        <v>42</v>
      </c>
      <c r="E312" t="s">
        <v>151</v>
      </c>
      <c r="F312" t="s">
        <v>152</v>
      </c>
      <c r="G312">
        <v>-274400</v>
      </c>
      <c r="H312" t="s">
        <v>153</v>
      </c>
      <c r="I312" t="s">
        <v>64</v>
      </c>
    </row>
    <row r="313" spans="1:9">
      <c r="A313" s="49">
        <v>46060</v>
      </c>
      <c r="B313" s="50">
        <v>0.9739351851851852</v>
      </c>
      <c r="C313" t="s">
        <v>155</v>
      </c>
      <c r="D313" t="s">
        <v>155</v>
      </c>
      <c r="E313" t="s">
        <v>32</v>
      </c>
      <c r="F313" t="s">
        <v>345</v>
      </c>
      <c r="G313">
        <v>158000</v>
      </c>
      <c r="H313" t="s">
        <v>153</v>
      </c>
      <c r="I313" t="s">
        <v>64</v>
      </c>
    </row>
    <row r="314" spans="1:9">
      <c r="A314" s="49">
        <v>46060</v>
      </c>
      <c r="B314" s="50">
        <v>0.7534953703703704</v>
      </c>
      <c r="C314" t="s">
        <v>155</v>
      </c>
      <c r="D314" t="s">
        <v>155</v>
      </c>
      <c r="E314" t="s">
        <v>32</v>
      </c>
      <c r="F314" t="s">
        <v>346</v>
      </c>
      <c r="G314">
        <v>39500</v>
      </c>
      <c r="H314" t="s">
        <v>153</v>
      </c>
      <c r="I314" t="s">
        <v>64</v>
      </c>
    </row>
    <row r="315" spans="1:9">
      <c r="A315" s="49">
        <v>46060</v>
      </c>
      <c r="B315" s="50">
        <v>0.6798611111111111</v>
      </c>
      <c r="C315" t="s">
        <v>155</v>
      </c>
      <c r="D315" t="s">
        <v>155</v>
      </c>
      <c r="E315" t="s">
        <v>32</v>
      </c>
      <c r="F315" t="s">
        <v>347</v>
      </c>
      <c r="G315">
        <v>499000</v>
      </c>
      <c r="H315" t="s">
        <v>153</v>
      </c>
      <c r="I315" t="s">
        <v>67</v>
      </c>
    </row>
    <row r="316" spans="1:9">
      <c r="A316" s="49">
        <v>46060</v>
      </c>
      <c r="B316" s="50">
        <v>0.6752662037037037</v>
      </c>
      <c r="C316" t="s">
        <v>155</v>
      </c>
      <c r="D316" t="s">
        <v>229</v>
      </c>
      <c r="E316" t="s">
        <v>32</v>
      </c>
      <c r="F316" t="s">
        <v>348</v>
      </c>
      <c r="G316">
        <v>39500</v>
      </c>
      <c r="H316" t="s">
        <v>153</v>
      </c>
      <c r="I316" t="s">
        <v>64</v>
      </c>
    </row>
    <row r="317" spans="1:9">
      <c r="A317" s="49">
        <v>46060</v>
      </c>
      <c r="B317" s="50">
        <v>0.6690625</v>
      </c>
      <c r="C317" t="s">
        <v>155</v>
      </c>
      <c r="D317" t="s">
        <v>155</v>
      </c>
      <c r="E317" t="s">
        <v>32</v>
      </c>
      <c r="F317" t="s">
        <v>349</v>
      </c>
      <c r="G317">
        <v>499000</v>
      </c>
      <c r="H317" t="s">
        <v>153</v>
      </c>
      <c r="I317" t="s">
        <v>67</v>
      </c>
    </row>
    <row r="318" spans="1:9">
      <c r="A318" s="49">
        <v>46060</v>
      </c>
      <c r="B318" s="50">
        <v>0.6679282407407408</v>
      </c>
      <c r="C318" t="s">
        <v>155</v>
      </c>
      <c r="D318" t="s">
        <v>155</v>
      </c>
      <c r="E318" t="s">
        <v>32</v>
      </c>
      <c r="F318" t="s">
        <v>350</v>
      </c>
      <c r="G318">
        <v>39500</v>
      </c>
      <c r="H318" t="s">
        <v>153</v>
      </c>
      <c r="I318" t="s">
        <v>64</v>
      </c>
    </row>
    <row r="319" spans="1:9">
      <c r="A319" s="49">
        <v>46060</v>
      </c>
      <c r="B319" s="50">
        <v>0.6430671296296296</v>
      </c>
      <c r="C319" t="s">
        <v>155</v>
      </c>
      <c r="D319" t="s">
        <v>155</v>
      </c>
      <c r="E319" t="s">
        <v>32</v>
      </c>
      <c r="F319" t="s">
        <v>351</v>
      </c>
      <c r="G319">
        <v>44500</v>
      </c>
      <c r="H319" t="s">
        <v>153</v>
      </c>
      <c r="I319" t="s">
        <v>64</v>
      </c>
    </row>
    <row r="320" spans="1:9">
      <c r="A320" s="49">
        <v>46060</v>
      </c>
      <c r="B320" s="50">
        <v>0.6422800925925926</v>
      </c>
      <c r="C320" t="s">
        <v>155</v>
      </c>
      <c r="D320" t="s">
        <v>241</v>
      </c>
      <c r="E320" t="s">
        <v>32</v>
      </c>
      <c r="F320" t="s">
        <v>352</v>
      </c>
      <c r="G320">
        <v>39500</v>
      </c>
      <c r="H320" t="s">
        <v>153</v>
      </c>
      <c r="I320" t="s">
        <v>64</v>
      </c>
    </row>
    <row r="321" spans="1:9">
      <c r="A321" s="49">
        <v>46060</v>
      </c>
      <c r="B321" s="50">
        <v>0.6362847222222222</v>
      </c>
      <c r="C321" t="s">
        <v>155</v>
      </c>
      <c r="D321" t="s">
        <v>155</v>
      </c>
      <c r="E321" t="s">
        <v>32</v>
      </c>
      <c r="F321" t="s">
        <v>353</v>
      </c>
      <c r="G321">
        <v>39500</v>
      </c>
      <c r="H321" t="s">
        <v>153</v>
      </c>
      <c r="I321" t="s">
        <v>64</v>
      </c>
    </row>
    <row r="322" spans="1:9">
      <c r="A322" s="49">
        <v>46060</v>
      </c>
      <c r="B322" s="50">
        <v>0.6347453703703704</v>
      </c>
      <c r="C322" t="s">
        <v>155</v>
      </c>
      <c r="D322" t="s">
        <v>155</v>
      </c>
      <c r="E322" t="s">
        <v>32</v>
      </c>
      <c r="F322" t="s">
        <v>354</v>
      </c>
      <c r="G322">
        <v>39500</v>
      </c>
      <c r="H322" t="s">
        <v>153</v>
      </c>
      <c r="I322" t="s">
        <v>64</v>
      </c>
    </row>
    <row r="323" spans="1:9">
      <c r="A323" s="49">
        <v>46060</v>
      </c>
      <c r="B323" s="50">
        <v>0.6331944444444444</v>
      </c>
      <c r="C323" t="s">
        <v>155</v>
      </c>
      <c r="D323" t="s">
        <v>155</v>
      </c>
      <c r="E323" t="s">
        <v>32</v>
      </c>
      <c r="F323" t="s">
        <v>355</v>
      </c>
      <c r="G323">
        <v>39500</v>
      </c>
      <c r="H323" t="s">
        <v>153</v>
      </c>
      <c r="I323" t="s">
        <v>64</v>
      </c>
    </row>
    <row r="324" spans="1:9">
      <c r="A324" s="49">
        <v>46060</v>
      </c>
      <c r="B324" s="50">
        <v>0.6323726851851852</v>
      </c>
      <c r="C324" t="s">
        <v>155</v>
      </c>
      <c r="D324" t="s">
        <v>155</v>
      </c>
      <c r="E324" t="s">
        <v>32</v>
      </c>
      <c r="F324" t="s">
        <v>356</v>
      </c>
      <c r="G324">
        <v>39500</v>
      </c>
      <c r="H324" t="s">
        <v>153</v>
      </c>
      <c r="I324" t="s">
        <v>64</v>
      </c>
    </row>
    <row r="325" spans="1:9">
      <c r="A325" s="49">
        <v>46060</v>
      </c>
      <c r="B325" s="50">
        <v>0.6286342592592593</v>
      </c>
      <c r="C325" t="s">
        <v>155</v>
      </c>
      <c r="D325" t="s">
        <v>155</v>
      </c>
      <c r="E325" t="s">
        <v>32</v>
      </c>
      <c r="F325" t="s">
        <v>357</v>
      </c>
      <c r="G325">
        <v>39500</v>
      </c>
      <c r="H325" t="s">
        <v>153</v>
      </c>
      <c r="I325" t="s">
        <v>64</v>
      </c>
    </row>
    <row r="326" spans="1:9">
      <c r="A326" s="49">
        <v>46060</v>
      </c>
      <c r="B326" s="50">
        <v>0.627199074074074</v>
      </c>
      <c r="C326" t="s">
        <v>155</v>
      </c>
      <c r="D326" t="s">
        <v>155</v>
      </c>
      <c r="E326" t="s">
        <v>32</v>
      </c>
      <c r="F326" t="s">
        <v>358</v>
      </c>
      <c r="G326">
        <v>39500</v>
      </c>
      <c r="H326" t="s">
        <v>153</v>
      </c>
      <c r="I326" t="s">
        <v>64</v>
      </c>
    </row>
    <row r="327" spans="1:9">
      <c r="A327" s="49">
        <v>46060</v>
      </c>
      <c r="B327" s="50">
        <v>0.5947337962962963</v>
      </c>
      <c r="C327" t="s">
        <v>155</v>
      </c>
      <c r="D327" t="s">
        <v>155</v>
      </c>
      <c r="E327" t="s">
        <v>32</v>
      </c>
      <c r="F327" t="s">
        <v>359</v>
      </c>
      <c r="G327">
        <v>-225000</v>
      </c>
      <c r="H327" t="s">
        <v>153</v>
      </c>
      <c r="I327" t="s">
        <v>64</v>
      </c>
    </row>
    <row r="328" spans="1:9">
      <c r="A328" s="49">
        <v>46060</v>
      </c>
      <c r="B328" s="50">
        <v>0.425162037037037</v>
      </c>
      <c r="C328" t="s">
        <v>155</v>
      </c>
      <c r="D328" t="s">
        <v>155</v>
      </c>
      <c r="E328" t="s">
        <v>32</v>
      </c>
      <c r="F328" t="s">
        <v>360</v>
      </c>
      <c r="G328">
        <v>499000</v>
      </c>
      <c r="H328" t="s">
        <v>153</v>
      </c>
      <c r="I328" t="s">
        <v>67</v>
      </c>
    </row>
    <row r="329" spans="1:9">
      <c r="A329" s="49">
        <v>46060</v>
      </c>
      <c r="B329" s="50">
        <v>0.3335763888888889</v>
      </c>
      <c r="C329" t="s">
        <v>150</v>
      </c>
      <c r="D329" t="s">
        <v>35</v>
      </c>
      <c r="E329" t="s">
        <v>169</v>
      </c>
      <c r="F329" t="s">
        <v>187</v>
      </c>
      <c r="G329">
        <v>-1408</v>
      </c>
      <c r="H329" t="s">
        <v>153</v>
      </c>
      <c r="I329" t="s">
        <v>171</v>
      </c>
    </row>
    <row r="330" spans="1:9">
      <c r="A330" s="49">
        <v>46059</v>
      </c>
      <c r="B330" s="50">
        <v>0.9618865740740741</v>
      </c>
      <c r="C330" t="s">
        <v>155</v>
      </c>
      <c r="D330" t="s">
        <v>155</v>
      </c>
      <c r="E330" t="s">
        <v>32</v>
      </c>
      <c r="F330" t="s">
        <v>361</v>
      </c>
      <c r="G330">
        <v>499000</v>
      </c>
      <c r="H330" t="s">
        <v>153</v>
      </c>
      <c r="I330" t="s">
        <v>67</v>
      </c>
    </row>
    <row r="331" spans="1:9">
      <c r="A331" s="49">
        <v>46059</v>
      </c>
      <c r="B331" s="50">
        <v>0.7344560185185185</v>
      </c>
      <c r="C331" t="s">
        <v>150</v>
      </c>
      <c r="D331" t="s">
        <v>44</v>
      </c>
      <c r="E331" t="s">
        <v>162</v>
      </c>
      <c r="F331" t="s">
        <v>163</v>
      </c>
      <c r="G331">
        <v>-2000</v>
      </c>
      <c r="H331" t="s">
        <v>153</v>
      </c>
      <c r="I331" t="s">
        <v>164</v>
      </c>
    </row>
    <row r="332" spans="1:9">
      <c r="A332" s="49">
        <v>46059</v>
      </c>
      <c r="B332" s="50">
        <v>0.7344560185185185</v>
      </c>
      <c r="C332" t="s">
        <v>155</v>
      </c>
      <c r="D332" t="s">
        <v>158</v>
      </c>
      <c r="E332" t="s">
        <v>32</v>
      </c>
      <c r="F332" t="s">
        <v>159</v>
      </c>
      <c r="G332">
        <v>10000</v>
      </c>
      <c r="H332" t="s">
        <v>153</v>
      </c>
      <c r="I332" t="s">
        <v>157</v>
      </c>
    </row>
    <row r="333" spans="1:9">
      <c r="A333" s="49">
        <v>46059</v>
      </c>
      <c r="B333" s="50">
        <v>0.7344560185185185</v>
      </c>
      <c r="C333" t="s">
        <v>155</v>
      </c>
      <c r="D333" t="s">
        <v>158</v>
      </c>
      <c r="E333" t="s">
        <v>32</v>
      </c>
      <c r="F333" t="s">
        <v>160</v>
      </c>
      <c r="G333">
        <v>-10000</v>
      </c>
      <c r="H333" t="s">
        <v>153</v>
      </c>
      <c r="I333" t="s">
        <v>64</v>
      </c>
    </row>
    <row r="334" spans="1:9">
      <c r="A334" s="49">
        <v>46059</v>
      </c>
      <c r="B334" s="50">
        <v>0.7324421296296296</v>
      </c>
      <c r="C334" t="s">
        <v>155</v>
      </c>
      <c r="D334" t="s">
        <v>158</v>
      </c>
      <c r="E334" t="s">
        <v>32</v>
      </c>
      <c r="F334" t="s">
        <v>160</v>
      </c>
      <c r="G334">
        <v>-13951</v>
      </c>
      <c r="H334" t="s">
        <v>153</v>
      </c>
      <c r="I334" t="s">
        <v>64</v>
      </c>
    </row>
    <row r="335" spans="1:9">
      <c r="A335" s="49">
        <v>46059</v>
      </c>
      <c r="B335" s="50">
        <v>0.7324305555555556</v>
      </c>
      <c r="C335" t="s">
        <v>150</v>
      </c>
      <c r="D335" t="s">
        <v>44</v>
      </c>
      <c r="E335" t="s">
        <v>162</v>
      </c>
      <c r="F335" t="s">
        <v>163</v>
      </c>
      <c r="G335">
        <v>-17630</v>
      </c>
      <c r="H335" t="s">
        <v>153</v>
      </c>
      <c r="I335" t="s">
        <v>164</v>
      </c>
    </row>
    <row r="336" spans="1:9">
      <c r="A336" s="49">
        <v>46059</v>
      </c>
      <c r="B336" s="50">
        <v>0.7324305555555556</v>
      </c>
      <c r="C336" t="s">
        <v>155</v>
      </c>
      <c r="D336" t="s">
        <v>158</v>
      </c>
      <c r="E336" t="s">
        <v>32</v>
      </c>
      <c r="F336" t="s">
        <v>159</v>
      </c>
      <c r="G336">
        <v>13951</v>
      </c>
      <c r="H336" t="s">
        <v>153</v>
      </c>
      <c r="I336" t="s">
        <v>157</v>
      </c>
    </row>
    <row r="337" spans="1:9">
      <c r="A337" s="49">
        <v>46059</v>
      </c>
      <c r="B337" s="50">
        <v>0.6182638888888888</v>
      </c>
      <c r="C337" t="s">
        <v>150</v>
      </c>
      <c r="D337" t="s">
        <v>48</v>
      </c>
      <c r="E337" t="s">
        <v>185</v>
      </c>
      <c r="F337" t="s">
        <v>362</v>
      </c>
      <c r="G337">
        <v>-3000</v>
      </c>
      <c r="H337" t="s">
        <v>153</v>
      </c>
      <c r="I337" t="s">
        <v>154</v>
      </c>
    </row>
    <row r="338" spans="1:9">
      <c r="A338" s="49">
        <v>46059</v>
      </c>
      <c r="B338" s="50">
        <v>0.548125</v>
      </c>
      <c r="C338" t="s">
        <v>150</v>
      </c>
      <c r="D338" t="s">
        <v>35</v>
      </c>
      <c r="E338" t="s">
        <v>169</v>
      </c>
      <c r="F338" t="s">
        <v>187</v>
      </c>
      <c r="G338">
        <v>-1620</v>
      </c>
      <c r="H338" t="s">
        <v>153</v>
      </c>
      <c r="I338" t="s">
        <v>171</v>
      </c>
    </row>
    <row r="339" spans="1:9">
      <c r="A339" s="49">
        <v>46059</v>
      </c>
      <c r="B339" s="50">
        <v>0.5322337962962963</v>
      </c>
      <c r="C339" t="s">
        <v>150</v>
      </c>
      <c r="D339" t="s">
        <v>44</v>
      </c>
      <c r="E339" t="s">
        <v>162</v>
      </c>
      <c r="F339" t="s">
        <v>255</v>
      </c>
      <c r="G339">
        <v>-2500</v>
      </c>
      <c r="H339" t="s">
        <v>153</v>
      </c>
      <c r="I339" t="s">
        <v>154</v>
      </c>
    </row>
    <row r="340" spans="1:9">
      <c r="A340" s="49">
        <v>46059</v>
      </c>
      <c r="B340" s="50">
        <v>0.402337962962963</v>
      </c>
      <c r="C340" t="s">
        <v>150</v>
      </c>
      <c r="D340" t="s">
        <v>44</v>
      </c>
      <c r="E340" t="s">
        <v>260</v>
      </c>
      <c r="F340" t="s">
        <v>363</v>
      </c>
      <c r="G340">
        <v>-3000000</v>
      </c>
      <c r="H340" t="s">
        <v>153</v>
      </c>
      <c r="I340" t="s">
        <v>61</v>
      </c>
    </row>
    <row r="341" spans="1:9">
      <c r="A341" s="49">
        <v>46059</v>
      </c>
      <c r="B341" s="50">
        <v>0.4020023148148148</v>
      </c>
      <c r="C341" t="s">
        <v>155</v>
      </c>
      <c r="D341" t="s">
        <v>158</v>
      </c>
      <c r="E341" t="s">
        <v>32</v>
      </c>
      <c r="F341" t="s">
        <v>7</v>
      </c>
      <c r="G341">
        <v>-3000000</v>
      </c>
      <c r="H341" t="s">
        <v>153</v>
      </c>
      <c r="I341" t="s">
        <v>64</v>
      </c>
    </row>
    <row r="342" spans="1:9">
      <c r="A342" s="49">
        <v>46059</v>
      </c>
      <c r="B342" s="50">
        <v>0.4020023148148148</v>
      </c>
      <c r="C342" t="s">
        <v>155</v>
      </c>
      <c r="D342" t="s">
        <v>158</v>
      </c>
      <c r="E342" t="s">
        <v>32</v>
      </c>
      <c r="F342" t="s">
        <v>7</v>
      </c>
      <c r="G342">
        <v>3000000</v>
      </c>
      <c r="H342" t="s">
        <v>153</v>
      </c>
      <c r="I342" t="s">
        <v>61</v>
      </c>
    </row>
    <row r="343" spans="1:9">
      <c r="A343" s="49">
        <v>46058</v>
      </c>
      <c r="B343" s="50">
        <v>0.8550578703703704</v>
      </c>
      <c r="C343" t="s">
        <v>150</v>
      </c>
      <c r="D343" t="s">
        <v>36</v>
      </c>
      <c r="E343" t="s">
        <v>191</v>
      </c>
      <c r="F343" t="s">
        <v>192</v>
      </c>
      <c r="G343">
        <v>-10107</v>
      </c>
      <c r="H343" t="s">
        <v>153</v>
      </c>
      <c r="I343" t="s">
        <v>157</v>
      </c>
    </row>
    <row r="344" spans="1:9">
      <c r="A344" s="49">
        <v>46058</v>
      </c>
      <c r="B344" s="50">
        <v>0.8550462962962962</v>
      </c>
      <c r="C344" t="s">
        <v>155</v>
      </c>
      <c r="D344" t="s">
        <v>158</v>
      </c>
      <c r="E344" t="s">
        <v>32</v>
      </c>
      <c r="F344" t="s">
        <v>159</v>
      </c>
      <c r="G344">
        <v>10000</v>
      </c>
      <c r="H344" t="s">
        <v>153</v>
      </c>
      <c r="I344" t="s">
        <v>157</v>
      </c>
    </row>
    <row r="345" spans="1:9">
      <c r="A345" s="49">
        <v>46058</v>
      </c>
      <c r="B345" s="50">
        <v>0.8550462962962962</v>
      </c>
      <c r="C345" t="s">
        <v>155</v>
      </c>
      <c r="D345" t="s">
        <v>158</v>
      </c>
      <c r="E345" t="s">
        <v>32</v>
      </c>
      <c r="F345" t="s">
        <v>160</v>
      </c>
      <c r="G345">
        <v>-10000</v>
      </c>
      <c r="H345" t="s">
        <v>153</v>
      </c>
      <c r="I345" t="s">
        <v>64</v>
      </c>
    </row>
    <row r="346" spans="1:9">
      <c r="A346" s="49">
        <v>46058</v>
      </c>
      <c r="B346" s="50">
        <v>0.6073263888888889</v>
      </c>
      <c r="C346" t="s">
        <v>150</v>
      </c>
      <c r="D346" t="s">
        <v>44</v>
      </c>
      <c r="E346" t="s">
        <v>162</v>
      </c>
      <c r="F346" t="s">
        <v>166</v>
      </c>
      <c r="G346">
        <v>-25680</v>
      </c>
      <c r="H346" t="s">
        <v>153</v>
      </c>
      <c r="I346" t="s">
        <v>154</v>
      </c>
    </row>
    <row r="347" spans="1:9">
      <c r="A347" s="49">
        <v>46058</v>
      </c>
      <c r="B347" s="50">
        <v>0.6031712962962963</v>
      </c>
      <c r="C347" t="s">
        <v>150</v>
      </c>
      <c r="D347" t="s">
        <v>44</v>
      </c>
      <c r="E347" t="s">
        <v>260</v>
      </c>
      <c r="F347" t="s">
        <v>363</v>
      </c>
      <c r="G347">
        <v>-10000000</v>
      </c>
      <c r="H347" t="s">
        <v>153</v>
      </c>
      <c r="I347" t="s">
        <v>61</v>
      </c>
    </row>
    <row r="348" spans="1:9">
      <c r="A348" s="49">
        <v>46058</v>
      </c>
      <c r="B348" s="50">
        <v>0.6010300925925925</v>
      </c>
      <c r="C348" t="s">
        <v>155</v>
      </c>
      <c r="D348" t="s">
        <v>158</v>
      </c>
      <c r="E348" t="s">
        <v>32</v>
      </c>
      <c r="F348" t="s">
        <v>7</v>
      </c>
      <c r="G348">
        <v>10000000</v>
      </c>
      <c r="H348" t="s">
        <v>153</v>
      </c>
      <c r="I348" t="s">
        <v>61</v>
      </c>
    </row>
    <row r="349" spans="1:9">
      <c r="A349" s="49">
        <v>46058</v>
      </c>
      <c r="B349" s="50">
        <v>0.6010300925925925</v>
      </c>
      <c r="C349" t="s">
        <v>155</v>
      </c>
      <c r="D349" t="s">
        <v>158</v>
      </c>
      <c r="E349" t="s">
        <v>32</v>
      </c>
      <c r="F349" t="s">
        <v>7</v>
      </c>
      <c r="G349">
        <v>-10000000</v>
      </c>
      <c r="H349" t="s">
        <v>153</v>
      </c>
      <c r="I349" t="s">
        <v>64</v>
      </c>
    </row>
    <row r="350" spans="1:9">
      <c r="A350" s="49">
        <v>46058</v>
      </c>
      <c r="B350" s="50">
        <v>0.3950578703703704</v>
      </c>
      <c r="C350" t="s">
        <v>150</v>
      </c>
      <c r="D350" t="s">
        <v>44</v>
      </c>
      <c r="E350" t="s">
        <v>162</v>
      </c>
      <c r="F350" t="s">
        <v>163</v>
      </c>
      <c r="G350">
        <v>-1900</v>
      </c>
      <c r="H350" t="s">
        <v>153</v>
      </c>
      <c r="I350" t="s">
        <v>164</v>
      </c>
    </row>
    <row r="351" spans="1:9">
      <c r="A351" s="49">
        <v>46058</v>
      </c>
      <c r="B351" s="50">
        <v>0.01177083333333333</v>
      </c>
      <c r="C351" t="s">
        <v>150</v>
      </c>
      <c r="D351" t="s">
        <v>35</v>
      </c>
      <c r="E351" t="s">
        <v>174</v>
      </c>
      <c r="F351" t="s">
        <v>364</v>
      </c>
      <c r="G351">
        <v>-6700</v>
      </c>
      <c r="H351" t="s">
        <v>153</v>
      </c>
      <c r="I351" t="s">
        <v>154</v>
      </c>
    </row>
    <row r="352" spans="1:9">
      <c r="A352" s="49">
        <v>46058</v>
      </c>
      <c r="B352" s="50">
        <v>0.006875</v>
      </c>
      <c r="C352" t="s">
        <v>150</v>
      </c>
      <c r="D352" t="s">
        <v>35</v>
      </c>
      <c r="E352" t="s">
        <v>174</v>
      </c>
      <c r="F352" t="s">
        <v>176</v>
      </c>
      <c r="G352">
        <v>6800</v>
      </c>
      <c r="H352" t="s">
        <v>153</v>
      </c>
      <c r="I352" t="s">
        <v>154</v>
      </c>
    </row>
    <row r="353" spans="1:9">
      <c r="A353" s="49">
        <v>46058</v>
      </c>
      <c r="B353" s="50">
        <v>0.006863425925925926</v>
      </c>
      <c r="C353" t="s">
        <v>150</v>
      </c>
      <c r="D353" t="s">
        <v>35</v>
      </c>
      <c r="E353" t="s">
        <v>174</v>
      </c>
      <c r="F353" t="s">
        <v>176</v>
      </c>
      <c r="G353">
        <v>-6800</v>
      </c>
      <c r="H353" t="s">
        <v>153</v>
      </c>
      <c r="I353" t="s">
        <v>154</v>
      </c>
    </row>
    <row r="354" spans="1:9">
      <c r="A354" s="49">
        <v>46057</v>
      </c>
      <c r="B354" s="50">
        <v>0.9588194444444444</v>
      </c>
      <c r="C354" t="s">
        <v>150</v>
      </c>
      <c r="D354" t="s">
        <v>37</v>
      </c>
      <c r="E354" t="s">
        <v>201</v>
      </c>
      <c r="F354" t="s">
        <v>365</v>
      </c>
      <c r="G354">
        <v>-99430</v>
      </c>
      <c r="H354" t="s">
        <v>153</v>
      </c>
      <c r="I354" t="s">
        <v>154</v>
      </c>
    </row>
    <row r="355" spans="1:9">
      <c r="A355" s="49">
        <v>46057</v>
      </c>
      <c r="B355" s="50">
        <v>0.958738425925926</v>
      </c>
      <c r="C355" t="s">
        <v>150</v>
      </c>
      <c r="D355" t="s">
        <v>37</v>
      </c>
      <c r="E355" t="s">
        <v>201</v>
      </c>
      <c r="F355" t="s">
        <v>366</v>
      </c>
      <c r="G355">
        <v>1027</v>
      </c>
      <c r="H355" t="s">
        <v>153</v>
      </c>
      <c r="I355" t="s">
        <v>154</v>
      </c>
    </row>
    <row r="356" spans="1:9">
      <c r="A356" s="49">
        <v>46057</v>
      </c>
      <c r="B356" s="50">
        <v>0.9585532407407408</v>
      </c>
      <c r="C356" t="s">
        <v>150</v>
      </c>
      <c r="D356" t="s">
        <v>37</v>
      </c>
      <c r="E356" t="s">
        <v>201</v>
      </c>
      <c r="F356" t="s">
        <v>366</v>
      </c>
      <c r="G356">
        <v>-1027</v>
      </c>
      <c r="H356" t="s">
        <v>153</v>
      </c>
      <c r="I356" t="s">
        <v>154</v>
      </c>
    </row>
    <row r="357" spans="1:9">
      <c r="A357" s="49">
        <v>46057</v>
      </c>
      <c r="B357" s="50">
        <v>0.9555092592592592</v>
      </c>
      <c r="C357" t="s">
        <v>155</v>
      </c>
      <c r="D357" t="s">
        <v>155</v>
      </c>
      <c r="E357" t="s">
        <v>32</v>
      </c>
      <c r="F357" t="s">
        <v>367</v>
      </c>
      <c r="G357">
        <v>499000</v>
      </c>
      <c r="H357" t="s">
        <v>153</v>
      </c>
      <c r="I357" t="s">
        <v>67</v>
      </c>
    </row>
    <row r="358" spans="1:9">
      <c r="A358" s="49">
        <v>46057</v>
      </c>
      <c r="B358" s="50">
        <v>0.8548958333333333</v>
      </c>
      <c r="C358" t="s">
        <v>150</v>
      </c>
      <c r="D358" t="s">
        <v>48</v>
      </c>
      <c r="E358" t="s">
        <v>185</v>
      </c>
      <c r="F358" t="s">
        <v>368</v>
      </c>
      <c r="G358">
        <v>-13000</v>
      </c>
      <c r="H358" t="s">
        <v>153</v>
      </c>
      <c r="I358" t="s">
        <v>154</v>
      </c>
    </row>
    <row r="359" spans="1:9">
      <c r="A359" s="49">
        <v>46057</v>
      </c>
      <c r="B359" s="50">
        <v>0.8371875</v>
      </c>
      <c r="C359" t="s">
        <v>155</v>
      </c>
      <c r="D359" t="s">
        <v>155</v>
      </c>
      <c r="E359" t="s">
        <v>32</v>
      </c>
      <c r="F359" t="s">
        <v>369</v>
      </c>
      <c r="G359">
        <v>499000</v>
      </c>
      <c r="H359" t="s">
        <v>153</v>
      </c>
      <c r="I359" t="s">
        <v>67</v>
      </c>
    </row>
    <row r="360" spans="1:9">
      <c r="A360" s="49">
        <v>46057</v>
      </c>
      <c r="B360" s="50">
        <v>0.6930555555555555</v>
      </c>
      <c r="C360" t="s">
        <v>155</v>
      </c>
      <c r="D360" t="s">
        <v>158</v>
      </c>
      <c r="E360" t="s">
        <v>32</v>
      </c>
      <c r="F360" t="s">
        <v>7</v>
      </c>
      <c r="G360">
        <v>499000</v>
      </c>
      <c r="H360" t="s">
        <v>153</v>
      </c>
      <c r="I360" t="s">
        <v>67</v>
      </c>
    </row>
    <row r="361" spans="1:9">
      <c r="A361" s="49">
        <v>46057</v>
      </c>
      <c r="B361" s="50">
        <v>0.6930555555555555</v>
      </c>
      <c r="C361" t="s">
        <v>155</v>
      </c>
      <c r="D361" t="s">
        <v>158</v>
      </c>
      <c r="E361" t="s">
        <v>32</v>
      </c>
      <c r="F361" t="s">
        <v>370</v>
      </c>
      <c r="G361">
        <v>-499000</v>
      </c>
      <c r="H361" t="s">
        <v>153</v>
      </c>
      <c r="I361" t="s">
        <v>64</v>
      </c>
    </row>
    <row r="362" spans="1:9">
      <c r="A362" s="49">
        <v>46057</v>
      </c>
      <c r="B362" s="50">
        <v>0.6929166666666666</v>
      </c>
      <c r="C362" t="s">
        <v>155</v>
      </c>
      <c r="D362" t="s">
        <v>158</v>
      </c>
      <c r="E362" t="s">
        <v>32</v>
      </c>
      <c r="F362" t="s">
        <v>7</v>
      </c>
      <c r="G362">
        <v>499000</v>
      </c>
      <c r="H362" t="s">
        <v>153</v>
      </c>
      <c r="I362" t="s">
        <v>67</v>
      </c>
    </row>
    <row r="363" spans="1:9">
      <c r="A363" s="49">
        <v>46057</v>
      </c>
      <c r="B363" s="50">
        <v>0.6929166666666666</v>
      </c>
      <c r="C363" t="s">
        <v>155</v>
      </c>
      <c r="D363" t="s">
        <v>158</v>
      </c>
      <c r="E363" t="s">
        <v>32</v>
      </c>
      <c r="F363" t="s">
        <v>370</v>
      </c>
      <c r="G363">
        <v>-499000</v>
      </c>
      <c r="H363" t="s">
        <v>153</v>
      </c>
      <c r="I363" t="s">
        <v>64</v>
      </c>
    </row>
    <row r="364" spans="1:9">
      <c r="A364" s="49">
        <v>46057</v>
      </c>
      <c r="B364" s="50">
        <v>0.6921527777777777</v>
      </c>
      <c r="C364" t="s">
        <v>155</v>
      </c>
      <c r="D364" t="s">
        <v>155</v>
      </c>
      <c r="E364" t="s">
        <v>32</v>
      </c>
      <c r="F364" t="s">
        <v>371</v>
      </c>
      <c r="G364">
        <v>499000</v>
      </c>
      <c r="H364" t="s">
        <v>153</v>
      </c>
      <c r="I364" t="s">
        <v>64</v>
      </c>
    </row>
    <row r="365" spans="1:9">
      <c r="A365" s="49">
        <v>46057</v>
      </c>
      <c r="B365" s="50">
        <v>0.6898842592592592</v>
      </c>
      <c r="C365" t="s">
        <v>150</v>
      </c>
      <c r="D365" t="s">
        <v>36</v>
      </c>
      <c r="E365" t="s">
        <v>191</v>
      </c>
      <c r="F365" t="s">
        <v>192</v>
      </c>
      <c r="G365">
        <v>-2500</v>
      </c>
      <c r="H365" t="s">
        <v>153</v>
      </c>
      <c r="I365" t="s">
        <v>157</v>
      </c>
    </row>
    <row r="366" spans="1:9">
      <c r="A366" s="49">
        <v>46057</v>
      </c>
      <c r="B366" s="50">
        <v>0.4398726851851852</v>
      </c>
      <c r="C366" t="s">
        <v>150</v>
      </c>
      <c r="D366" t="s">
        <v>44</v>
      </c>
      <c r="E366" t="s">
        <v>225</v>
      </c>
      <c r="F366" t="s">
        <v>372</v>
      </c>
      <c r="G366">
        <v>-7890</v>
      </c>
      <c r="H366" t="s">
        <v>153</v>
      </c>
      <c r="I366" t="s">
        <v>64</v>
      </c>
    </row>
    <row r="367" spans="1:9">
      <c r="A367" s="49">
        <v>46057</v>
      </c>
      <c r="B367" s="50">
        <v>0.04280092592592592</v>
      </c>
      <c r="C367" t="s">
        <v>155</v>
      </c>
      <c r="D367" t="s">
        <v>155</v>
      </c>
      <c r="E367" t="s">
        <v>32</v>
      </c>
      <c r="F367" t="s">
        <v>156</v>
      </c>
      <c r="G367">
        <v>3266</v>
      </c>
      <c r="H367" t="s">
        <v>153</v>
      </c>
      <c r="I367" t="s">
        <v>157</v>
      </c>
    </row>
    <row r="368" spans="1:9">
      <c r="A368" s="49">
        <v>46056</v>
      </c>
      <c r="B368" s="50">
        <v>0.9294328703703704</v>
      </c>
      <c r="C368" t="s">
        <v>155</v>
      </c>
      <c r="D368" t="s">
        <v>155</v>
      </c>
      <c r="E368" t="s">
        <v>32</v>
      </c>
      <c r="F368" t="s">
        <v>206</v>
      </c>
      <c r="G368">
        <v>3266</v>
      </c>
      <c r="H368" t="s">
        <v>153</v>
      </c>
      <c r="I368" t="s">
        <v>157</v>
      </c>
    </row>
    <row r="369" spans="1:9">
      <c r="A369" s="49">
        <v>46056</v>
      </c>
      <c r="B369" s="50">
        <v>0.9291319444444445</v>
      </c>
      <c r="C369" t="s">
        <v>167</v>
      </c>
      <c r="D369" t="s">
        <v>30</v>
      </c>
      <c r="E369" t="s">
        <v>32</v>
      </c>
      <c r="F369" t="s">
        <v>211</v>
      </c>
      <c r="G369">
        <v>2</v>
      </c>
      <c r="H369" t="s">
        <v>153</v>
      </c>
      <c r="I369" t="s">
        <v>157</v>
      </c>
    </row>
    <row r="370" spans="1:9">
      <c r="A370" s="49">
        <v>46056</v>
      </c>
      <c r="B370" s="50">
        <v>0.7589814814814815</v>
      </c>
      <c r="C370" t="s">
        <v>150</v>
      </c>
      <c r="D370" t="s">
        <v>35</v>
      </c>
      <c r="E370" t="s">
        <v>174</v>
      </c>
      <c r="F370" t="s">
        <v>314</v>
      </c>
      <c r="G370">
        <v>-10000</v>
      </c>
      <c r="H370" t="s">
        <v>153</v>
      </c>
      <c r="I370" t="s">
        <v>64</v>
      </c>
    </row>
    <row r="371" spans="1:9">
      <c r="A371" s="49">
        <v>46055</v>
      </c>
      <c r="B371" s="50">
        <v>0.7780787037037037</v>
      </c>
      <c r="C371" t="s">
        <v>155</v>
      </c>
      <c r="D371" t="s">
        <v>155</v>
      </c>
      <c r="E371" t="s">
        <v>32</v>
      </c>
      <c r="F371" t="s">
        <v>373</v>
      </c>
      <c r="G371">
        <v>499000</v>
      </c>
      <c r="H371" t="s">
        <v>153</v>
      </c>
      <c r="I371" t="s">
        <v>64</v>
      </c>
    </row>
    <row r="372" spans="1:9">
      <c r="A372" s="49">
        <v>46055</v>
      </c>
      <c r="B372" s="50">
        <v>0.7511458333333333</v>
      </c>
      <c r="C372" t="s">
        <v>150</v>
      </c>
      <c r="D372" t="s">
        <v>36</v>
      </c>
      <c r="E372" t="s">
        <v>191</v>
      </c>
      <c r="F372" t="s">
        <v>192</v>
      </c>
      <c r="G372">
        <v>-12128</v>
      </c>
      <c r="H372" t="s">
        <v>153</v>
      </c>
      <c r="I372" t="s">
        <v>157</v>
      </c>
    </row>
    <row r="373" spans="1:9">
      <c r="A373" s="49">
        <v>46055</v>
      </c>
      <c r="B373" s="50">
        <v>0.7511458333333333</v>
      </c>
      <c r="C373" t="s">
        <v>155</v>
      </c>
      <c r="D373" t="s">
        <v>158</v>
      </c>
      <c r="E373" t="s">
        <v>32</v>
      </c>
      <c r="F373" t="s">
        <v>160</v>
      </c>
      <c r="G373">
        <v>-10000</v>
      </c>
      <c r="H373" t="s">
        <v>153</v>
      </c>
      <c r="I373" t="s">
        <v>64</v>
      </c>
    </row>
    <row r="374" spans="1:9">
      <c r="A374" s="49">
        <v>46055</v>
      </c>
      <c r="B374" s="50">
        <v>0.7511342592592593</v>
      </c>
      <c r="C374" t="s">
        <v>155</v>
      </c>
      <c r="D374" t="s">
        <v>158</v>
      </c>
      <c r="E374" t="s">
        <v>32</v>
      </c>
      <c r="F374" t="s">
        <v>159</v>
      </c>
      <c r="G374">
        <v>10000</v>
      </c>
      <c r="H374" t="s">
        <v>153</v>
      </c>
      <c r="I374" t="s">
        <v>157</v>
      </c>
    </row>
    <row r="375" spans="1:9">
      <c r="A375" s="49">
        <v>46055</v>
      </c>
      <c r="B375" s="50">
        <v>0.4921064814814815</v>
      </c>
      <c r="C375" t="s">
        <v>150</v>
      </c>
      <c r="D375" t="s">
        <v>42</v>
      </c>
      <c r="E375" t="s">
        <v>374</v>
      </c>
      <c r="F375" t="s">
        <v>375</v>
      </c>
      <c r="G375">
        <v>-40000</v>
      </c>
      <c r="H375" t="s">
        <v>153</v>
      </c>
      <c r="I375" t="s">
        <v>214</v>
      </c>
    </row>
    <row r="376" spans="1:9">
      <c r="A376" s="49">
        <v>46055</v>
      </c>
      <c r="B376" s="50">
        <v>0.4609490740740741</v>
      </c>
      <c r="C376" t="s">
        <v>155</v>
      </c>
      <c r="D376" t="s">
        <v>158</v>
      </c>
      <c r="E376" t="s">
        <v>32</v>
      </c>
      <c r="F376" t="s">
        <v>7</v>
      </c>
      <c r="G376">
        <v>10000</v>
      </c>
      <c r="H376" t="s">
        <v>153</v>
      </c>
      <c r="I376" t="s">
        <v>67</v>
      </c>
    </row>
    <row r="377" spans="1:9">
      <c r="A377" s="49">
        <v>46055</v>
      </c>
      <c r="B377" s="50">
        <v>0.4609490740740741</v>
      </c>
      <c r="C377" t="s">
        <v>155</v>
      </c>
      <c r="D377" t="s">
        <v>158</v>
      </c>
      <c r="E377" t="s">
        <v>32</v>
      </c>
      <c r="F377" t="s">
        <v>376</v>
      </c>
      <c r="G377">
        <v>-10000</v>
      </c>
      <c r="H377" t="s">
        <v>153</v>
      </c>
      <c r="I377" t="s">
        <v>64</v>
      </c>
    </row>
    <row r="378" spans="1:9">
      <c r="A378" s="49">
        <v>46055</v>
      </c>
      <c r="B378" s="50">
        <v>0.432800925925926</v>
      </c>
      <c r="C378" t="s">
        <v>150</v>
      </c>
      <c r="D378" t="s">
        <v>36</v>
      </c>
      <c r="E378" t="s">
        <v>377</v>
      </c>
      <c r="F378" t="s">
        <v>378</v>
      </c>
      <c r="G378">
        <v>-1651930</v>
      </c>
      <c r="H378" t="s">
        <v>153</v>
      </c>
      <c r="I378" t="s">
        <v>64</v>
      </c>
    </row>
    <row r="379" spans="1:9">
      <c r="A379" s="49">
        <v>46054</v>
      </c>
      <c r="B379" s="50">
        <v>0.9745717592592592</v>
      </c>
      <c r="C379" t="s">
        <v>150</v>
      </c>
      <c r="D379" t="s">
        <v>40</v>
      </c>
      <c r="E379" t="s">
        <v>172</v>
      </c>
      <c r="F379" t="s">
        <v>379</v>
      </c>
      <c r="G379">
        <v>-4500</v>
      </c>
      <c r="H379" t="s">
        <v>153</v>
      </c>
      <c r="I379" t="s">
        <v>214</v>
      </c>
    </row>
    <row r="380" spans="1:9">
      <c r="A380" s="49">
        <v>46054</v>
      </c>
      <c r="B380" s="50">
        <v>0.9590625</v>
      </c>
      <c r="C380" t="s">
        <v>150</v>
      </c>
      <c r="D380" t="s">
        <v>40</v>
      </c>
      <c r="E380" t="s">
        <v>380</v>
      </c>
      <c r="F380" t="s">
        <v>381</v>
      </c>
      <c r="G380">
        <v>-2600</v>
      </c>
      <c r="H380" t="s">
        <v>153</v>
      </c>
      <c r="I380" t="s">
        <v>164</v>
      </c>
    </row>
    <row r="381" spans="1:9">
      <c r="A381" s="49">
        <v>46054</v>
      </c>
      <c r="B381" s="50">
        <v>0.6654629629629629</v>
      </c>
      <c r="C381" t="s">
        <v>155</v>
      </c>
      <c r="D381" t="s">
        <v>155</v>
      </c>
      <c r="E381" t="s">
        <v>32</v>
      </c>
      <c r="F381" t="s">
        <v>382</v>
      </c>
      <c r="G381">
        <v>349000</v>
      </c>
      <c r="H381" t="s">
        <v>153</v>
      </c>
      <c r="I381" t="s">
        <v>64</v>
      </c>
    </row>
    <row r="382" spans="1:9">
      <c r="A382" s="49">
        <v>46054</v>
      </c>
      <c r="B382" s="50">
        <v>0.3623958333333333</v>
      </c>
      <c r="C382" t="s">
        <v>155</v>
      </c>
      <c r="D382" t="s">
        <v>155</v>
      </c>
      <c r="E382" t="s">
        <v>32</v>
      </c>
      <c r="F382" t="s">
        <v>246</v>
      </c>
      <c r="G382">
        <v>-100000</v>
      </c>
      <c r="H382" t="s">
        <v>153</v>
      </c>
      <c r="I382" t="s">
        <v>64</v>
      </c>
    </row>
    <row r="383" spans="1:9">
      <c r="A383" s="49">
        <v>46054</v>
      </c>
      <c r="B383" s="50">
        <v>0.2510648148148148</v>
      </c>
      <c r="C383" t="s">
        <v>150</v>
      </c>
      <c r="D383" t="s">
        <v>40</v>
      </c>
      <c r="E383" t="s">
        <v>172</v>
      </c>
      <c r="F383" t="s">
        <v>383</v>
      </c>
      <c r="G383">
        <v>-1700</v>
      </c>
      <c r="H383" t="s">
        <v>153</v>
      </c>
      <c r="I383" t="s">
        <v>164</v>
      </c>
    </row>
    <row r="384" spans="1:9">
      <c r="A384" s="49">
        <v>46054</v>
      </c>
      <c r="B384" s="50">
        <v>0.09067129629629629</v>
      </c>
      <c r="C384" t="s">
        <v>167</v>
      </c>
      <c r="D384" t="s">
        <v>28</v>
      </c>
      <c r="E384" t="s">
        <v>32</v>
      </c>
      <c r="F384" t="s">
        <v>274</v>
      </c>
      <c r="G384">
        <v>0</v>
      </c>
      <c r="H384" t="s">
        <v>153</v>
      </c>
      <c r="I384" t="s">
        <v>61</v>
      </c>
    </row>
    <row r="385" spans="1:9">
      <c r="A385" s="49">
        <v>46053</v>
      </c>
      <c r="B385" s="50">
        <v>0.8403125</v>
      </c>
      <c r="C385" t="s">
        <v>155</v>
      </c>
      <c r="D385" t="s">
        <v>158</v>
      </c>
      <c r="E385" t="s">
        <v>32</v>
      </c>
      <c r="F385" t="s">
        <v>160</v>
      </c>
      <c r="G385">
        <v>-10000</v>
      </c>
      <c r="H385" t="s">
        <v>153</v>
      </c>
      <c r="I385" t="s">
        <v>64</v>
      </c>
    </row>
    <row r="386" spans="1:9">
      <c r="A386" s="49">
        <v>46053</v>
      </c>
      <c r="B386" s="50">
        <v>0.840300925925926</v>
      </c>
      <c r="C386" t="s">
        <v>150</v>
      </c>
      <c r="D386" t="s">
        <v>48</v>
      </c>
      <c r="E386" t="s">
        <v>185</v>
      </c>
      <c r="F386" t="s">
        <v>199</v>
      </c>
      <c r="G386">
        <v>-1920</v>
      </c>
      <c r="H386" t="s">
        <v>153</v>
      </c>
      <c r="I386" t="s">
        <v>164</v>
      </c>
    </row>
    <row r="387" spans="1:9">
      <c r="A387" s="49">
        <v>46053</v>
      </c>
      <c r="B387" s="50">
        <v>0.840300925925926</v>
      </c>
      <c r="C387" t="s">
        <v>155</v>
      </c>
      <c r="D387" t="s">
        <v>158</v>
      </c>
      <c r="E387" t="s">
        <v>32</v>
      </c>
      <c r="F387" t="s">
        <v>159</v>
      </c>
      <c r="G387">
        <v>10000</v>
      </c>
      <c r="H387" t="s">
        <v>153</v>
      </c>
      <c r="I387" t="s">
        <v>157</v>
      </c>
    </row>
    <row r="388" spans="1:9">
      <c r="A388" s="49">
        <v>46053</v>
      </c>
      <c r="B388" s="50">
        <v>0.8275115740740741</v>
      </c>
      <c r="C388" t="s">
        <v>150</v>
      </c>
      <c r="D388" t="s">
        <v>35</v>
      </c>
      <c r="E388" t="s">
        <v>169</v>
      </c>
      <c r="F388" t="s">
        <v>170</v>
      </c>
      <c r="G388">
        <v>-2070</v>
      </c>
      <c r="H388" t="s">
        <v>153</v>
      </c>
      <c r="I388" t="s">
        <v>171</v>
      </c>
    </row>
    <row r="389" spans="1:9">
      <c r="A389" s="49">
        <v>46053</v>
      </c>
      <c r="B389" s="50">
        <v>0.8275</v>
      </c>
      <c r="C389" t="s">
        <v>167</v>
      </c>
      <c r="D389" t="s">
        <v>31</v>
      </c>
      <c r="E389" t="s">
        <v>32</v>
      </c>
      <c r="F389" t="s">
        <v>168</v>
      </c>
      <c r="G389">
        <v>3000</v>
      </c>
      <c r="H389" t="s">
        <v>153</v>
      </c>
      <c r="I389" t="s">
        <v>64</v>
      </c>
    </row>
    <row r="390" spans="1:9">
      <c r="A390" s="49">
        <v>46053</v>
      </c>
      <c r="B390" s="50">
        <v>0.821400462962963</v>
      </c>
      <c r="C390" t="s">
        <v>150</v>
      </c>
      <c r="D390" t="s">
        <v>35</v>
      </c>
      <c r="E390" t="s">
        <v>169</v>
      </c>
      <c r="F390" t="s">
        <v>170</v>
      </c>
      <c r="G390">
        <v>3000</v>
      </c>
      <c r="H390" t="s">
        <v>153</v>
      </c>
      <c r="I390" t="s">
        <v>171</v>
      </c>
    </row>
    <row r="391" spans="1:9">
      <c r="A391" s="49">
        <v>46053</v>
      </c>
      <c r="B391" s="50">
        <v>0.8213888888888888</v>
      </c>
      <c r="C391" t="s">
        <v>150</v>
      </c>
      <c r="D391" t="s">
        <v>40</v>
      </c>
      <c r="E391" t="s">
        <v>172</v>
      </c>
      <c r="F391" t="s">
        <v>173</v>
      </c>
      <c r="G391">
        <v>-3000</v>
      </c>
      <c r="H391" t="s">
        <v>153</v>
      </c>
      <c r="I391" t="s">
        <v>64</v>
      </c>
    </row>
    <row r="392" spans="1:9">
      <c r="A392" s="49">
        <v>46053</v>
      </c>
      <c r="B392" s="50">
        <v>0.7152430555555556</v>
      </c>
      <c r="C392" t="s">
        <v>150</v>
      </c>
      <c r="D392" t="s">
        <v>38</v>
      </c>
      <c r="E392" t="s">
        <v>384</v>
      </c>
      <c r="F392" t="s">
        <v>385</v>
      </c>
      <c r="G392">
        <v>-3000</v>
      </c>
      <c r="H392" t="s">
        <v>153</v>
      </c>
      <c r="I392" t="s">
        <v>214</v>
      </c>
    </row>
    <row r="393" spans="1:9">
      <c r="A393" s="49">
        <v>46053</v>
      </c>
      <c r="B393" s="50">
        <v>0.6455555555555555</v>
      </c>
      <c r="C393" t="s">
        <v>155</v>
      </c>
      <c r="D393" t="s">
        <v>155</v>
      </c>
      <c r="E393" t="s">
        <v>32</v>
      </c>
      <c r="F393" t="s">
        <v>386</v>
      </c>
      <c r="G393">
        <v>499000</v>
      </c>
      <c r="H393" t="s">
        <v>153</v>
      </c>
      <c r="I393" t="s">
        <v>64</v>
      </c>
    </row>
    <row r="394" spans="1:9">
      <c r="A394" s="49">
        <v>46053</v>
      </c>
      <c r="B394" s="50">
        <v>0.6295833333333334</v>
      </c>
      <c r="C394" t="s">
        <v>150</v>
      </c>
      <c r="D394" t="s">
        <v>48</v>
      </c>
      <c r="E394" t="s">
        <v>185</v>
      </c>
      <c r="F394" t="s">
        <v>387</v>
      </c>
      <c r="G394">
        <v>-18000</v>
      </c>
      <c r="H394" t="s">
        <v>153</v>
      </c>
      <c r="I394" t="s">
        <v>214</v>
      </c>
    </row>
    <row r="395" spans="1:9">
      <c r="A395" s="49">
        <v>46053</v>
      </c>
      <c r="B395" s="50">
        <v>0.4913773148148148</v>
      </c>
      <c r="C395" t="s">
        <v>150</v>
      </c>
      <c r="D395" t="s">
        <v>40</v>
      </c>
      <c r="E395" t="s">
        <v>172</v>
      </c>
      <c r="F395" t="s">
        <v>388</v>
      </c>
      <c r="G395">
        <v>-7600</v>
      </c>
      <c r="H395" t="s">
        <v>153</v>
      </c>
      <c r="I395" t="s">
        <v>214</v>
      </c>
    </row>
    <row r="396" spans="1:9">
      <c r="A396" s="49">
        <v>46052</v>
      </c>
      <c r="B396" s="50">
        <v>0.9146643518518518</v>
      </c>
      <c r="C396" t="s">
        <v>150</v>
      </c>
      <c r="D396" t="s">
        <v>43</v>
      </c>
      <c r="E396" t="s">
        <v>389</v>
      </c>
      <c r="F396" t="s">
        <v>390</v>
      </c>
      <c r="G396">
        <v>-3000</v>
      </c>
      <c r="H396" t="s">
        <v>153</v>
      </c>
      <c r="I396" t="s">
        <v>214</v>
      </c>
    </row>
    <row r="397" spans="1:9">
      <c r="A397" s="49">
        <v>46052</v>
      </c>
      <c r="B397" s="50">
        <v>0.5120833333333333</v>
      </c>
      <c r="C397" t="s">
        <v>150</v>
      </c>
      <c r="D397" t="s">
        <v>42</v>
      </c>
      <c r="E397" t="s">
        <v>177</v>
      </c>
      <c r="F397" t="s">
        <v>391</v>
      </c>
      <c r="G397">
        <v>150000</v>
      </c>
      <c r="H397" t="s">
        <v>153</v>
      </c>
      <c r="I397" t="s">
        <v>214</v>
      </c>
    </row>
    <row r="398" spans="1:9">
      <c r="A398" s="49">
        <v>46052</v>
      </c>
      <c r="B398" s="50">
        <v>0.5120486111111111</v>
      </c>
      <c r="C398" t="s">
        <v>150</v>
      </c>
      <c r="D398" t="s">
        <v>42</v>
      </c>
      <c r="E398" t="s">
        <v>177</v>
      </c>
      <c r="F398" t="s">
        <v>391</v>
      </c>
      <c r="G398">
        <v>-87940</v>
      </c>
      <c r="H398" t="s">
        <v>153</v>
      </c>
      <c r="I398" t="s">
        <v>214</v>
      </c>
    </row>
    <row r="399" spans="1:9">
      <c r="A399" s="49">
        <v>46052</v>
      </c>
      <c r="B399" s="50">
        <v>0.5103819444444444</v>
      </c>
      <c r="C399" t="s">
        <v>150</v>
      </c>
      <c r="D399" t="s">
        <v>42</v>
      </c>
      <c r="E399" t="s">
        <v>177</v>
      </c>
      <c r="F399" t="s">
        <v>391</v>
      </c>
      <c r="G399">
        <v>-150000</v>
      </c>
      <c r="H399" t="s">
        <v>153</v>
      </c>
      <c r="I399" t="s">
        <v>214</v>
      </c>
    </row>
    <row r="400" spans="1:9">
      <c r="A400" s="49">
        <v>46051</v>
      </c>
      <c r="B400" s="50">
        <v>0.8966087962962963</v>
      </c>
      <c r="C400" t="s">
        <v>150</v>
      </c>
      <c r="D400" t="s">
        <v>40</v>
      </c>
      <c r="E400" t="s">
        <v>380</v>
      </c>
      <c r="F400" t="s">
        <v>392</v>
      </c>
      <c r="G400">
        <v>-1000</v>
      </c>
      <c r="H400" t="s">
        <v>153</v>
      </c>
      <c r="I400" t="s">
        <v>60</v>
      </c>
    </row>
    <row r="401" spans="1:9">
      <c r="A401" s="49">
        <v>46051</v>
      </c>
      <c r="B401" s="50">
        <v>0.8705439814814815</v>
      </c>
      <c r="C401" t="s">
        <v>155</v>
      </c>
      <c r="D401" t="s">
        <v>229</v>
      </c>
      <c r="E401" t="s">
        <v>32</v>
      </c>
      <c r="F401" t="s">
        <v>393</v>
      </c>
      <c r="G401">
        <v>1</v>
      </c>
      <c r="H401" t="s">
        <v>153</v>
      </c>
      <c r="I401" t="s">
        <v>64</v>
      </c>
    </row>
    <row r="402" spans="1:9">
      <c r="A402" s="49">
        <v>46051</v>
      </c>
      <c r="B402" s="50">
        <v>0.834837962962963</v>
      </c>
      <c r="C402" t="s">
        <v>155</v>
      </c>
      <c r="D402" t="s">
        <v>155</v>
      </c>
      <c r="E402" t="s">
        <v>32</v>
      </c>
      <c r="F402" t="s">
        <v>394</v>
      </c>
      <c r="G402">
        <v>499000</v>
      </c>
      <c r="H402" t="s">
        <v>153</v>
      </c>
      <c r="I402" t="s">
        <v>64</v>
      </c>
    </row>
    <row r="403" spans="1:9">
      <c r="A403" s="49">
        <v>46051</v>
      </c>
      <c r="B403" s="50">
        <v>0.780775462962963</v>
      </c>
      <c r="C403" t="s">
        <v>150</v>
      </c>
      <c r="D403" t="s">
        <v>44</v>
      </c>
      <c r="E403" t="s">
        <v>315</v>
      </c>
      <c r="F403" t="s">
        <v>316</v>
      </c>
      <c r="G403">
        <v>-29000</v>
      </c>
      <c r="H403" t="s">
        <v>153</v>
      </c>
      <c r="I403" t="s">
        <v>164</v>
      </c>
    </row>
    <row r="404" spans="1:9">
      <c r="A404" s="49">
        <v>46051</v>
      </c>
      <c r="B404" s="50">
        <v>0.6688773148148148</v>
      </c>
      <c r="C404" t="s">
        <v>155</v>
      </c>
      <c r="D404" t="s">
        <v>155</v>
      </c>
      <c r="E404" t="s">
        <v>32</v>
      </c>
      <c r="F404" t="s">
        <v>354</v>
      </c>
      <c r="G404">
        <v>-1085300</v>
      </c>
      <c r="H404" t="s">
        <v>153</v>
      </c>
      <c r="I404" t="s">
        <v>64</v>
      </c>
    </row>
    <row r="405" spans="1:9">
      <c r="A405" s="49">
        <v>46051</v>
      </c>
      <c r="B405" s="50">
        <v>0.5655555555555556</v>
      </c>
      <c r="C405" t="s">
        <v>150</v>
      </c>
      <c r="D405" t="s">
        <v>44</v>
      </c>
      <c r="E405" t="s">
        <v>225</v>
      </c>
      <c r="F405" t="s">
        <v>395</v>
      </c>
      <c r="G405">
        <v>-14900</v>
      </c>
      <c r="H405" t="s">
        <v>153</v>
      </c>
      <c r="I405" t="s">
        <v>171</v>
      </c>
    </row>
    <row r="406" spans="1:9">
      <c r="A406" s="49">
        <v>46051</v>
      </c>
      <c r="B406" s="50">
        <v>0.438900462962963</v>
      </c>
      <c r="C406" t="s">
        <v>150</v>
      </c>
      <c r="D406" t="s">
        <v>45</v>
      </c>
      <c r="E406" t="s">
        <v>396</v>
      </c>
      <c r="F406" t="s">
        <v>397</v>
      </c>
      <c r="G406">
        <v>-330000</v>
      </c>
      <c r="H406" t="s">
        <v>153</v>
      </c>
      <c r="I406" t="s">
        <v>214</v>
      </c>
    </row>
    <row r="407" spans="1:9">
      <c r="A407" s="49">
        <v>46051</v>
      </c>
      <c r="B407" s="50">
        <v>0.3690162037037037</v>
      </c>
      <c r="C407" t="s">
        <v>150</v>
      </c>
      <c r="D407" t="s">
        <v>44</v>
      </c>
      <c r="E407" t="s">
        <v>315</v>
      </c>
      <c r="F407" t="s">
        <v>316</v>
      </c>
      <c r="G407">
        <v>-14000</v>
      </c>
      <c r="H407" t="s">
        <v>153</v>
      </c>
      <c r="I407" t="s">
        <v>164</v>
      </c>
    </row>
    <row r="408" spans="1:9">
      <c r="A408" s="49">
        <v>46051</v>
      </c>
      <c r="B408" s="50">
        <v>0.3447222222222222</v>
      </c>
      <c r="C408" t="s">
        <v>167</v>
      </c>
      <c r="D408" t="s">
        <v>29</v>
      </c>
      <c r="E408" t="s">
        <v>32</v>
      </c>
      <c r="F408" t="s">
        <v>302</v>
      </c>
      <c r="G408">
        <v>1000000</v>
      </c>
      <c r="H408" t="s">
        <v>153</v>
      </c>
      <c r="I408" t="s">
        <v>64</v>
      </c>
    </row>
    <row r="409" spans="1:9">
      <c r="A409" s="49">
        <v>46051</v>
      </c>
      <c r="B409" s="50">
        <v>0.3326273148148148</v>
      </c>
      <c r="C409" t="s">
        <v>155</v>
      </c>
      <c r="D409" t="s">
        <v>155</v>
      </c>
      <c r="E409" t="s">
        <v>32</v>
      </c>
      <c r="F409" t="s">
        <v>398</v>
      </c>
      <c r="G409">
        <v>499000</v>
      </c>
      <c r="H409" t="s">
        <v>153</v>
      </c>
      <c r="I409" t="s">
        <v>64</v>
      </c>
    </row>
    <row r="410" spans="1:9">
      <c r="A410" s="49">
        <v>46050</v>
      </c>
      <c r="B410" s="50">
        <v>0.9086458333333334</v>
      </c>
      <c r="C410" t="s">
        <v>150</v>
      </c>
      <c r="D410" t="s">
        <v>41</v>
      </c>
      <c r="E410" t="s">
        <v>399</v>
      </c>
      <c r="F410" t="s">
        <v>400</v>
      </c>
      <c r="G410">
        <v>-170000</v>
      </c>
      <c r="H410" t="s">
        <v>153</v>
      </c>
      <c r="I410" t="s">
        <v>214</v>
      </c>
    </row>
    <row r="411" spans="1:9">
      <c r="A411" s="49">
        <v>46050</v>
      </c>
      <c r="B411" s="50">
        <v>0.6812731481481481</v>
      </c>
      <c r="C411" t="s">
        <v>150</v>
      </c>
      <c r="D411" t="s">
        <v>37</v>
      </c>
      <c r="E411" t="s">
        <v>401</v>
      </c>
      <c r="F411" t="s">
        <v>402</v>
      </c>
      <c r="G411">
        <v>-4000</v>
      </c>
      <c r="H411" t="s">
        <v>153</v>
      </c>
      <c r="I411" t="s">
        <v>214</v>
      </c>
    </row>
    <row r="412" spans="1:9">
      <c r="A412" s="49">
        <v>46050</v>
      </c>
      <c r="B412" s="50">
        <v>0.5818634259259259</v>
      </c>
      <c r="C412" t="s">
        <v>150</v>
      </c>
      <c r="D412" t="s">
        <v>49</v>
      </c>
      <c r="E412" t="s">
        <v>403</v>
      </c>
      <c r="F412" t="s">
        <v>404</v>
      </c>
      <c r="G412">
        <v>-23800</v>
      </c>
      <c r="H412" t="s">
        <v>153</v>
      </c>
      <c r="I412" t="s">
        <v>214</v>
      </c>
    </row>
    <row r="413" spans="1:9">
      <c r="A413" s="49">
        <v>46050</v>
      </c>
      <c r="B413" s="50">
        <v>0.4838310185185185</v>
      </c>
      <c r="C413" t="s">
        <v>150</v>
      </c>
      <c r="D413" t="s">
        <v>44</v>
      </c>
      <c r="E413" t="s">
        <v>260</v>
      </c>
      <c r="F413" t="s">
        <v>261</v>
      </c>
      <c r="G413">
        <v>-110000</v>
      </c>
      <c r="H413" t="s">
        <v>153</v>
      </c>
      <c r="I413" t="s">
        <v>64</v>
      </c>
    </row>
    <row r="414" spans="1:9">
      <c r="A414" s="49">
        <v>46049</v>
      </c>
      <c r="B414" s="50">
        <v>0.9808680555555556</v>
      </c>
      <c r="C414" t="s">
        <v>155</v>
      </c>
      <c r="D414" t="s">
        <v>155</v>
      </c>
      <c r="E414" t="s">
        <v>32</v>
      </c>
      <c r="F414" t="s">
        <v>160</v>
      </c>
      <c r="G414">
        <v>-10666</v>
      </c>
      <c r="H414" t="s">
        <v>153</v>
      </c>
      <c r="I414" t="s">
        <v>64</v>
      </c>
    </row>
    <row r="415" spans="1:9">
      <c r="A415" s="49">
        <v>46049</v>
      </c>
      <c r="B415" s="50">
        <v>0.9254513888888889</v>
      </c>
      <c r="C415" t="s">
        <v>150</v>
      </c>
      <c r="D415" t="s">
        <v>40</v>
      </c>
      <c r="E415" t="s">
        <v>172</v>
      </c>
      <c r="F415" t="s">
        <v>405</v>
      </c>
      <c r="G415">
        <v>-8300</v>
      </c>
      <c r="H415" t="s">
        <v>153</v>
      </c>
      <c r="I415" t="s">
        <v>214</v>
      </c>
    </row>
    <row r="416" spans="1:9">
      <c r="A416" s="49">
        <v>46049</v>
      </c>
      <c r="B416" s="50">
        <v>0.8908564814814814</v>
      </c>
      <c r="C416" t="s">
        <v>150</v>
      </c>
      <c r="D416" t="s">
        <v>35</v>
      </c>
      <c r="E416" t="s">
        <v>174</v>
      </c>
      <c r="F416" t="s">
        <v>314</v>
      </c>
      <c r="G416">
        <v>-10000</v>
      </c>
      <c r="H416" t="s">
        <v>153</v>
      </c>
      <c r="I416" t="s">
        <v>64</v>
      </c>
    </row>
    <row r="417" spans="1:9">
      <c r="A417" s="49">
        <v>46049</v>
      </c>
      <c r="B417" s="50">
        <v>0.7415162037037037</v>
      </c>
      <c r="C417" t="s">
        <v>155</v>
      </c>
      <c r="D417" t="s">
        <v>155</v>
      </c>
      <c r="E417" t="s">
        <v>32</v>
      </c>
      <c r="F417" t="s">
        <v>275</v>
      </c>
      <c r="G417">
        <v>390000</v>
      </c>
      <c r="H417" t="s">
        <v>153</v>
      </c>
      <c r="I417" t="s">
        <v>64</v>
      </c>
    </row>
    <row r="418" spans="1:9">
      <c r="A418" s="49">
        <v>46049</v>
      </c>
      <c r="B418" s="50">
        <v>0.7064351851851852</v>
      </c>
      <c r="C418" t="s">
        <v>150</v>
      </c>
      <c r="D418" t="s">
        <v>35</v>
      </c>
      <c r="E418" t="s">
        <v>169</v>
      </c>
      <c r="F418" t="s">
        <v>187</v>
      </c>
      <c r="G418">
        <v>-1620</v>
      </c>
      <c r="H418" t="s">
        <v>153</v>
      </c>
      <c r="I418" t="s">
        <v>171</v>
      </c>
    </row>
    <row r="419" spans="1:9">
      <c r="A419" s="49">
        <v>46049</v>
      </c>
      <c r="B419" s="50">
        <v>0.4249652777777778</v>
      </c>
      <c r="C419" t="s">
        <v>150</v>
      </c>
      <c r="D419" t="s">
        <v>44</v>
      </c>
      <c r="E419" t="s">
        <v>315</v>
      </c>
      <c r="F419" t="s">
        <v>316</v>
      </c>
      <c r="G419">
        <v>-29000</v>
      </c>
      <c r="H419" t="s">
        <v>153</v>
      </c>
      <c r="I419" t="s">
        <v>164</v>
      </c>
    </row>
    <row r="420" spans="1:9">
      <c r="A420" s="49">
        <v>46049</v>
      </c>
      <c r="B420" s="50">
        <v>0.4249652777777778</v>
      </c>
      <c r="C420" t="s">
        <v>155</v>
      </c>
      <c r="D420" t="s">
        <v>158</v>
      </c>
      <c r="E420" t="s">
        <v>32</v>
      </c>
      <c r="F420" t="s">
        <v>159</v>
      </c>
      <c r="G420">
        <v>24897</v>
      </c>
      <c r="H420" t="s">
        <v>153</v>
      </c>
      <c r="I420" t="s">
        <v>157</v>
      </c>
    </row>
    <row r="421" spans="1:9">
      <c r="A421" s="49">
        <v>46049</v>
      </c>
      <c r="B421" s="50">
        <v>0.4249652777777778</v>
      </c>
      <c r="C421" t="s">
        <v>155</v>
      </c>
      <c r="D421" t="s">
        <v>158</v>
      </c>
      <c r="E421" t="s">
        <v>32</v>
      </c>
      <c r="F421" t="s">
        <v>160</v>
      </c>
      <c r="G421">
        <v>-24897</v>
      </c>
      <c r="H421" t="s">
        <v>153</v>
      </c>
      <c r="I421" t="s">
        <v>64</v>
      </c>
    </row>
    <row r="422" spans="1:9">
      <c r="A422" s="49">
        <v>46048</v>
      </c>
      <c r="B422" s="50">
        <v>0.8160416666666667</v>
      </c>
      <c r="C422" t="s">
        <v>150</v>
      </c>
      <c r="D422" t="s">
        <v>36</v>
      </c>
      <c r="E422" t="s">
        <v>377</v>
      </c>
      <c r="F422" t="s">
        <v>406</v>
      </c>
      <c r="G422">
        <v>-5900</v>
      </c>
      <c r="H422" t="s">
        <v>153</v>
      </c>
      <c r="I422" t="s">
        <v>164</v>
      </c>
    </row>
    <row r="423" spans="1:9">
      <c r="A423" s="49">
        <v>46048</v>
      </c>
      <c r="B423" s="50">
        <v>0.8160069444444444</v>
      </c>
      <c r="C423" t="s">
        <v>155</v>
      </c>
      <c r="D423" t="s">
        <v>155</v>
      </c>
      <c r="E423" t="s">
        <v>32</v>
      </c>
      <c r="F423" t="s">
        <v>160</v>
      </c>
      <c r="G423">
        <v>-10000</v>
      </c>
      <c r="H423" t="s">
        <v>153</v>
      </c>
      <c r="I423" t="s">
        <v>64</v>
      </c>
    </row>
    <row r="424" spans="1:9">
      <c r="A424" s="49">
        <v>46048</v>
      </c>
      <c r="B424" s="50">
        <v>0.7840393518518518</v>
      </c>
      <c r="C424" t="s">
        <v>155</v>
      </c>
      <c r="D424" t="s">
        <v>155</v>
      </c>
      <c r="E424" t="s">
        <v>32</v>
      </c>
      <c r="F424" t="s">
        <v>407</v>
      </c>
      <c r="G424">
        <v>499000</v>
      </c>
      <c r="H424" t="s">
        <v>153</v>
      </c>
      <c r="I424" t="s">
        <v>64</v>
      </c>
    </row>
    <row r="425" spans="1:9">
      <c r="A425" s="49">
        <v>46048</v>
      </c>
      <c r="B425" s="50">
        <v>0.6220833333333333</v>
      </c>
      <c r="C425" t="s">
        <v>150</v>
      </c>
      <c r="D425" t="s">
        <v>48</v>
      </c>
      <c r="E425" t="s">
        <v>185</v>
      </c>
      <c r="F425" t="s">
        <v>186</v>
      </c>
      <c r="G425">
        <v>-6000</v>
      </c>
      <c r="H425" t="s">
        <v>153</v>
      </c>
      <c r="I425" t="s">
        <v>214</v>
      </c>
    </row>
    <row r="426" spans="1:9">
      <c r="A426" s="49">
        <v>46047</v>
      </c>
      <c r="B426" s="50">
        <v>0.9769097222222223</v>
      </c>
      <c r="C426" t="s">
        <v>150</v>
      </c>
      <c r="D426" t="s">
        <v>44</v>
      </c>
      <c r="E426" t="s">
        <v>260</v>
      </c>
      <c r="F426" t="s">
        <v>261</v>
      </c>
      <c r="G426">
        <v>-20000</v>
      </c>
      <c r="H426" t="s">
        <v>153</v>
      </c>
      <c r="I426" t="s">
        <v>64</v>
      </c>
    </row>
    <row r="427" spans="1:9">
      <c r="A427" s="49">
        <v>46047</v>
      </c>
      <c r="B427" s="50">
        <v>0.9764699074074074</v>
      </c>
      <c r="C427" t="s">
        <v>150</v>
      </c>
      <c r="D427" t="s">
        <v>44</v>
      </c>
      <c r="E427" t="s">
        <v>260</v>
      </c>
      <c r="F427" t="s">
        <v>261</v>
      </c>
      <c r="G427">
        <v>-20000</v>
      </c>
      <c r="H427" t="s">
        <v>153</v>
      </c>
      <c r="I427" t="s">
        <v>64</v>
      </c>
    </row>
    <row r="428" spans="1:9">
      <c r="A428" s="49">
        <v>46047</v>
      </c>
      <c r="B428" s="50">
        <v>0.8757754629629629</v>
      </c>
      <c r="C428" t="s">
        <v>150</v>
      </c>
      <c r="D428" t="s">
        <v>43</v>
      </c>
      <c r="E428" t="s">
        <v>389</v>
      </c>
      <c r="F428" t="s">
        <v>408</v>
      </c>
      <c r="G428">
        <v>-176000</v>
      </c>
      <c r="H428" t="s">
        <v>153</v>
      </c>
      <c r="I428" t="s">
        <v>164</v>
      </c>
    </row>
    <row r="429" spans="1:9">
      <c r="A429" s="49">
        <v>46047</v>
      </c>
      <c r="B429" s="50">
        <v>0.8757754629629629</v>
      </c>
      <c r="C429" t="s">
        <v>150</v>
      </c>
      <c r="D429" t="s">
        <v>43</v>
      </c>
      <c r="E429" t="s">
        <v>409</v>
      </c>
      <c r="F429" t="s">
        <v>408</v>
      </c>
      <c r="G429">
        <v>-176000</v>
      </c>
      <c r="H429" t="s">
        <v>153</v>
      </c>
      <c r="I429" t="s">
        <v>157</v>
      </c>
    </row>
    <row r="430" spans="1:9">
      <c r="A430" s="49">
        <v>46047</v>
      </c>
      <c r="B430" s="50">
        <v>0.8514583333333333</v>
      </c>
      <c r="C430" t="s">
        <v>150</v>
      </c>
      <c r="D430" t="s">
        <v>48</v>
      </c>
      <c r="E430" t="s">
        <v>185</v>
      </c>
      <c r="F430" t="s">
        <v>362</v>
      </c>
      <c r="G430">
        <v>-7100</v>
      </c>
      <c r="H430" t="s">
        <v>153</v>
      </c>
      <c r="I430" t="s">
        <v>214</v>
      </c>
    </row>
    <row r="431" spans="1:9">
      <c r="A431" s="49">
        <v>46047</v>
      </c>
      <c r="B431" s="50">
        <v>0.02986111111111111</v>
      </c>
      <c r="C431" t="s">
        <v>150</v>
      </c>
      <c r="D431" t="s">
        <v>37</v>
      </c>
      <c r="E431" t="s">
        <v>410</v>
      </c>
      <c r="F431" t="s">
        <v>411</v>
      </c>
      <c r="G431">
        <v>-57100</v>
      </c>
      <c r="H431" t="s">
        <v>153</v>
      </c>
      <c r="I431" t="s">
        <v>171</v>
      </c>
    </row>
    <row r="432" spans="1:9">
      <c r="A432" s="49">
        <v>46046</v>
      </c>
      <c r="B432" s="50">
        <v>0.9485648148148148</v>
      </c>
      <c r="C432" t="s">
        <v>150</v>
      </c>
      <c r="D432" t="s">
        <v>44</v>
      </c>
      <c r="E432" t="s">
        <v>162</v>
      </c>
      <c r="F432" t="s">
        <v>163</v>
      </c>
      <c r="G432">
        <v>-27900</v>
      </c>
      <c r="H432" t="s">
        <v>153</v>
      </c>
      <c r="I432" t="s">
        <v>164</v>
      </c>
    </row>
    <row r="433" spans="1:9">
      <c r="A433" s="49">
        <v>46046</v>
      </c>
      <c r="B433" s="50">
        <v>0.9472685185185186</v>
      </c>
      <c r="C433" t="s">
        <v>150</v>
      </c>
      <c r="D433" t="s">
        <v>44</v>
      </c>
      <c r="E433" t="s">
        <v>162</v>
      </c>
      <c r="F433" t="s">
        <v>163</v>
      </c>
      <c r="G433">
        <v>-35900</v>
      </c>
      <c r="H433" t="s">
        <v>153</v>
      </c>
      <c r="I433" t="s">
        <v>164</v>
      </c>
    </row>
    <row r="434" spans="1:9">
      <c r="A434" s="49">
        <v>46046</v>
      </c>
      <c r="B434" s="50">
        <v>0.9472685185185186</v>
      </c>
      <c r="C434" t="s">
        <v>155</v>
      </c>
      <c r="D434" t="s">
        <v>158</v>
      </c>
      <c r="E434" t="s">
        <v>32</v>
      </c>
      <c r="F434" t="s">
        <v>159</v>
      </c>
      <c r="G434">
        <v>19160</v>
      </c>
      <c r="H434" t="s">
        <v>153</v>
      </c>
      <c r="I434" t="s">
        <v>157</v>
      </c>
    </row>
    <row r="435" spans="1:9">
      <c r="A435" s="49">
        <v>46046</v>
      </c>
      <c r="B435" s="50">
        <v>0.9472685185185186</v>
      </c>
      <c r="C435" t="s">
        <v>155</v>
      </c>
      <c r="D435" t="s">
        <v>158</v>
      </c>
      <c r="E435" t="s">
        <v>32</v>
      </c>
      <c r="F435" t="s">
        <v>160</v>
      </c>
      <c r="G435">
        <v>-19160</v>
      </c>
      <c r="H435" t="s">
        <v>153</v>
      </c>
      <c r="I435" t="s">
        <v>64</v>
      </c>
    </row>
    <row r="436" spans="1:9">
      <c r="A436" s="49">
        <v>46046</v>
      </c>
      <c r="B436" s="50">
        <v>0.9445023148148148</v>
      </c>
      <c r="C436" t="s">
        <v>155</v>
      </c>
      <c r="D436" t="s">
        <v>155</v>
      </c>
      <c r="E436" t="s">
        <v>32</v>
      </c>
      <c r="F436" t="s">
        <v>412</v>
      </c>
      <c r="G436">
        <v>499000</v>
      </c>
      <c r="H436" t="s">
        <v>153</v>
      </c>
      <c r="I436" t="s">
        <v>64</v>
      </c>
    </row>
    <row r="437" spans="1:9">
      <c r="A437" s="49">
        <v>46046</v>
      </c>
      <c r="B437" s="50">
        <v>0.8004166666666667</v>
      </c>
      <c r="C437" t="s">
        <v>150</v>
      </c>
      <c r="D437" t="s">
        <v>42</v>
      </c>
      <c r="E437" t="s">
        <v>177</v>
      </c>
      <c r="F437" t="s">
        <v>413</v>
      </c>
      <c r="G437">
        <v>-34000</v>
      </c>
      <c r="H437" t="s">
        <v>153</v>
      </c>
      <c r="I437" t="s">
        <v>214</v>
      </c>
    </row>
    <row r="438" spans="1:9">
      <c r="A438" s="49">
        <v>46046</v>
      </c>
      <c r="B438" s="50">
        <v>0.753275462962963</v>
      </c>
      <c r="C438" t="s">
        <v>150</v>
      </c>
      <c r="D438" t="s">
        <v>35</v>
      </c>
      <c r="E438" t="s">
        <v>169</v>
      </c>
      <c r="F438" t="s">
        <v>170</v>
      </c>
      <c r="G438">
        <v>-1380</v>
      </c>
      <c r="H438" t="s">
        <v>153</v>
      </c>
      <c r="I438" t="s">
        <v>171</v>
      </c>
    </row>
    <row r="439" spans="1:9">
      <c r="A439" s="49">
        <v>46046</v>
      </c>
      <c r="B439" s="50">
        <v>0.7527777777777778</v>
      </c>
      <c r="C439" t="s">
        <v>167</v>
      </c>
      <c r="D439" t="s">
        <v>31</v>
      </c>
      <c r="E439" t="s">
        <v>32</v>
      </c>
      <c r="F439" t="s">
        <v>168</v>
      </c>
      <c r="G439">
        <v>3000</v>
      </c>
      <c r="H439" t="s">
        <v>153</v>
      </c>
      <c r="I439" t="s">
        <v>64</v>
      </c>
    </row>
    <row r="440" spans="1:9">
      <c r="A440" s="49">
        <v>46046</v>
      </c>
      <c r="B440" s="50">
        <v>0.749525462962963</v>
      </c>
      <c r="C440" t="s">
        <v>150</v>
      </c>
      <c r="D440" t="s">
        <v>35</v>
      </c>
      <c r="E440" t="s">
        <v>169</v>
      </c>
      <c r="F440" t="s">
        <v>170</v>
      </c>
      <c r="G440">
        <v>3000</v>
      </c>
      <c r="H440" t="s">
        <v>153</v>
      </c>
      <c r="I440" t="s">
        <v>171</v>
      </c>
    </row>
    <row r="441" spans="1:9">
      <c r="A441" s="49">
        <v>46046</v>
      </c>
      <c r="B441" s="50">
        <v>0.749525462962963</v>
      </c>
      <c r="C441" t="s">
        <v>150</v>
      </c>
      <c r="D441" t="s">
        <v>40</v>
      </c>
      <c r="E441" t="s">
        <v>172</v>
      </c>
      <c r="F441" t="s">
        <v>173</v>
      </c>
      <c r="G441">
        <v>-3000</v>
      </c>
      <c r="H441" t="s">
        <v>153</v>
      </c>
      <c r="I441" t="s">
        <v>64</v>
      </c>
    </row>
    <row r="442" spans="1:9">
      <c r="A442" s="49">
        <v>46046</v>
      </c>
      <c r="B442" s="50">
        <v>0.7474074074074074</v>
      </c>
      <c r="C442" t="s">
        <v>155</v>
      </c>
      <c r="D442" t="s">
        <v>70</v>
      </c>
      <c r="E442" t="s">
        <v>32</v>
      </c>
      <c r="F442" t="s">
        <v>187</v>
      </c>
      <c r="G442">
        <v>770</v>
      </c>
      <c r="H442" t="s">
        <v>153</v>
      </c>
      <c r="I442" t="s">
        <v>64</v>
      </c>
    </row>
    <row r="443" spans="1:9">
      <c r="A443" s="49">
        <v>46046</v>
      </c>
      <c r="B443" s="50">
        <v>0.7387962962962963</v>
      </c>
      <c r="C443" t="s">
        <v>155</v>
      </c>
      <c r="D443" t="s">
        <v>155</v>
      </c>
      <c r="E443" t="s">
        <v>32</v>
      </c>
      <c r="F443" t="s">
        <v>414</v>
      </c>
      <c r="G443">
        <v>499000</v>
      </c>
      <c r="H443" t="s">
        <v>153</v>
      </c>
      <c r="I443" t="s">
        <v>64</v>
      </c>
    </row>
    <row r="444" spans="1:9">
      <c r="A444" s="49">
        <v>46046</v>
      </c>
      <c r="B444" s="50">
        <v>0.6813541666666667</v>
      </c>
      <c r="C444" t="s">
        <v>150</v>
      </c>
      <c r="D444" t="s">
        <v>45</v>
      </c>
      <c r="E444" t="s">
        <v>415</v>
      </c>
      <c r="F444" t="s">
        <v>416</v>
      </c>
      <c r="G444">
        <v>-2200</v>
      </c>
      <c r="H444" t="s">
        <v>153</v>
      </c>
      <c r="I444" t="s">
        <v>214</v>
      </c>
    </row>
    <row r="445" spans="1:9">
      <c r="A445" s="49">
        <v>46046</v>
      </c>
      <c r="B445" s="50">
        <v>0.6807523148148148</v>
      </c>
      <c r="C445" t="s">
        <v>150</v>
      </c>
      <c r="D445" t="s">
        <v>45</v>
      </c>
      <c r="E445" t="s">
        <v>415</v>
      </c>
      <c r="F445" t="s">
        <v>416</v>
      </c>
      <c r="G445">
        <v>-1400</v>
      </c>
      <c r="H445" t="s">
        <v>153</v>
      </c>
      <c r="I445" t="s">
        <v>214</v>
      </c>
    </row>
    <row r="446" spans="1:9">
      <c r="A446" s="49">
        <v>46046</v>
      </c>
      <c r="B446" s="50">
        <v>0.6806134259259259</v>
      </c>
      <c r="C446" t="s">
        <v>150</v>
      </c>
      <c r="D446" t="s">
        <v>45</v>
      </c>
      <c r="E446" t="s">
        <v>415</v>
      </c>
      <c r="F446" t="s">
        <v>416</v>
      </c>
      <c r="G446">
        <v>-1400</v>
      </c>
      <c r="H446" t="s">
        <v>153</v>
      </c>
      <c r="I446" t="s">
        <v>214</v>
      </c>
    </row>
    <row r="447" spans="1:9">
      <c r="A447" s="49">
        <v>46046</v>
      </c>
      <c r="B447" s="50">
        <v>0.6804861111111111</v>
      </c>
      <c r="C447" t="s">
        <v>150</v>
      </c>
      <c r="D447" t="s">
        <v>45</v>
      </c>
      <c r="E447" t="s">
        <v>415</v>
      </c>
      <c r="F447" t="s">
        <v>416</v>
      </c>
      <c r="G447">
        <v>-1400</v>
      </c>
      <c r="H447" t="s">
        <v>153</v>
      </c>
      <c r="I447" t="s">
        <v>214</v>
      </c>
    </row>
    <row r="448" spans="1:9">
      <c r="A448" s="49">
        <v>46046</v>
      </c>
      <c r="B448" s="50">
        <v>0.6802777777777778</v>
      </c>
      <c r="C448" t="s">
        <v>150</v>
      </c>
      <c r="D448" t="s">
        <v>45</v>
      </c>
      <c r="E448" t="s">
        <v>415</v>
      </c>
      <c r="F448" t="s">
        <v>416</v>
      </c>
      <c r="G448">
        <v>-1400</v>
      </c>
      <c r="H448" t="s">
        <v>153</v>
      </c>
      <c r="I448" t="s">
        <v>214</v>
      </c>
    </row>
    <row r="449" spans="1:9">
      <c r="A449" s="49">
        <v>46046</v>
      </c>
      <c r="B449" s="50">
        <v>0.6801157407407408</v>
      </c>
      <c r="C449" t="s">
        <v>150</v>
      </c>
      <c r="D449" t="s">
        <v>45</v>
      </c>
      <c r="E449" t="s">
        <v>415</v>
      </c>
      <c r="F449" t="s">
        <v>416</v>
      </c>
      <c r="G449">
        <v>-1400</v>
      </c>
      <c r="H449" t="s">
        <v>153</v>
      </c>
      <c r="I449" t="s">
        <v>214</v>
      </c>
    </row>
    <row r="450" spans="1:9">
      <c r="A450" s="49">
        <v>46046</v>
      </c>
      <c r="B450" s="50">
        <v>0.6799768518518519</v>
      </c>
      <c r="C450" t="s">
        <v>150</v>
      </c>
      <c r="D450" t="s">
        <v>45</v>
      </c>
      <c r="E450" t="s">
        <v>415</v>
      </c>
      <c r="F450" t="s">
        <v>416</v>
      </c>
      <c r="G450">
        <v>-1400</v>
      </c>
      <c r="H450" t="s">
        <v>153</v>
      </c>
      <c r="I450" t="s">
        <v>214</v>
      </c>
    </row>
    <row r="451" spans="1:9">
      <c r="A451" s="49">
        <v>46046</v>
      </c>
      <c r="B451" s="50">
        <v>0.679849537037037</v>
      </c>
      <c r="C451" t="s">
        <v>150</v>
      </c>
      <c r="D451" t="s">
        <v>45</v>
      </c>
      <c r="E451" t="s">
        <v>415</v>
      </c>
      <c r="F451" t="s">
        <v>416</v>
      </c>
      <c r="G451">
        <v>-1400</v>
      </c>
      <c r="H451" t="s">
        <v>153</v>
      </c>
      <c r="I451" t="s">
        <v>214</v>
      </c>
    </row>
    <row r="452" spans="1:9">
      <c r="A452" s="49">
        <v>46046</v>
      </c>
      <c r="B452" s="50">
        <v>0.6797106481481482</v>
      </c>
      <c r="C452" t="s">
        <v>150</v>
      </c>
      <c r="D452" t="s">
        <v>45</v>
      </c>
      <c r="E452" t="s">
        <v>415</v>
      </c>
      <c r="F452" t="s">
        <v>416</v>
      </c>
      <c r="G452">
        <v>-1400</v>
      </c>
      <c r="H452" t="s">
        <v>153</v>
      </c>
      <c r="I452" t="s">
        <v>214</v>
      </c>
    </row>
    <row r="453" spans="1:9">
      <c r="A453" s="49">
        <v>46046</v>
      </c>
      <c r="B453" s="50">
        <v>0.6272453703703704</v>
      </c>
      <c r="C453" t="s">
        <v>150</v>
      </c>
      <c r="D453" t="s">
        <v>35</v>
      </c>
      <c r="E453" t="s">
        <v>174</v>
      </c>
      <c r="F453" t="s">
        <v>314</v>
      </c>
      <c r="G453">
        <v>-10000</v>
      </c>
      <c r="H453" t="s">
        <v>153</v>
      </c>
      <c r="I453" t="s">
        <v>64</v>
      </c>
    </row>
    <row r="454" spans="1:9">
      <c r="A454" s="49">
        <v>46046</v>
      </c>
      <c r="B454" s="50">
        <v>0.5341550925925926</v>
      </c>
      <c r="C454" t="s">
        <v>167</v>
      </c>
      <c r="D454" t="s">
        <v>31</v>
      </c>
      <c r="E454" t="s">
        <v>32</v>
      </c>
      <c r="F454" t="s">
        <v>168</v>
      </c>
      <c r="G454">
        <v>3000</v>
      </c>
      <c r="H454" t="s">
        <v>153</v>
      </c>
      <c r="I454" t="s">
        <v>64</v>
      </c>
    </row>
    <row r="455" spans="1:9">
      <c r="A455" s="49">
        <v>46046</v>
      </c>
      <c r="B455" s="50">
        <v>0.5341319444444445</v>
      </c>
      <c r="C455" t="s">
        <v>150</v>
      </c>
      <c r="D455" t="s">
        <v>35</v>
      </c>
      <c r="E455" t="s">
        <v>169</v>
      </c>
      <c r="F455" t="s">
        <v>170</v>
      </c>
      <c r="G455">
        <v>-690</v>
      </c>
      <c r="H455" t="s">
        <v>153</v>
      </c>
      <c r="I455" t="s">
        <v>171</v>
      </c>
    </row>
    <row r="456" spans="1:9">
      <c r="A456" s="49">
        <v>46046</v>
      </c>
      <c r="B456" s="50">
        <v>0.5324652777777777</v>
      </c>
      <c r="C456" t="s">
        <v>150</v>
      </c>
      <c r="D456" t="s">
        <v>35</v>
      </c>
      <c r="E456" t="s">
        <v>169</v>
      </c>
      <c r="F456" t="s">
        <v>170</v>
      </c>
      <c r="G456">
        <v>3000</v>
      </c>
      <c r="H456" t="s">
        <v>153</v>
      </c>
      <c r="I456" t="s">
        <v>171</v>
      </c>
    </row>
    <row r="457" spans="1:9">
      <c r="A457" s="49">
        <v>46046</v>
      </c>
      <c r="B457" s="50">
        <v>0.5324652777777777</v>
      </c>
      <c r="C457" t="s">
        <v>150</v>
      </c>
      <c r="D457" t="s">
        <v>40</v>
      </c>
      <c r="E457" t="s">
        <v>172</v>
      </c>
      <c r="F457" t="s">
        <v>173</v>
      </c>
      <c r="G457">
        <v>-3000</v>
      </c>
      <c r="H457" t="s">
        <v>153</v>
      </c>
      <c r="I457" t="s">
        <v>64</v>
      </c>
    </row>
    <row r="458" spans="1:9">
      <c r="A458" s="49">
        <v>46046</v>
      </c>
      <c r="B458" s="50">
        <v>0.5044212962962963</v>
      </c>
      <c r="C458" t="s">
        <v>167</v>
      </c>
      <c r="D458" t="s">
        <v>31</v>
      </c>
      <c r="E458" t="s">
        <v>32</v>
      </c>
      <c r="F458" t="s">
        <v>168</v>
      </c>
      <c r="G458">
        <v>3000</v>
      </c>
      <c r="H458" t="s">
        <v>153</v>
      </c>
      <c r="I458" t="s">
        <v>64</v>
      </c>
    </row>
    <row r="459" spans="1:9">
      <c r="A459" s="49">
        <v>46046</v>
      </c>
      <c r="B459" s="50">
        <v>0.5043981481481481</v>
      </c>
      <c r="C459" t="s">
        <v>150</v>
      </c>
      <c r="D459" t="s">
        <v>35</v>
      </c>
      <c r="E459" t="s">
        <v>169</v>
      </c>
      <c r="F459" t="s">
        <v>170</v>
      </c>
      <c r="G459">
        <v>-920</v>
      </c>
      <c r="H459" t="s">
        <v>153</v>
      </c>
      <c r="I459" t="s">
        <v>171</v>
      </c>
    </row>
    <row r="460" spans="1:9">
      <c r="A460" s="49">
        <v>46046</v>
      </c>
      <c r="B460" s="50">
        <v>0.5021180555555556</v>
      </c>
      <c r="C460" t="s">
        <v>150</v>
      </c>
      <c r="D460" t="s">
        <v>35</v>
      </c>
      <c r="E460" t="s">
        <v>169</v>
      </c>
      <c r="F460" t="s">
        <v>170</v>
      </c>
      <c r="G460">
        <v>3000</v>
      </c>
      <c r="H460" t="s">
        <v>153</v>
      </c>
      <c r="I460" t="s">
        <v>171</v>
      </c>
    </row>
    <row r="461" spans="1:9">
      <c r="A461" s="49">
        <v>46046</v>
      </c>
      <c r="B461" s="50">
        <v>0.5021064814814815</v>
      </c>
      <c r="C461" t="s">
        <v>150</v>
      </c>
      <c r="D461" t="s">
        <v>40</v>
      </c>
      <c r="E461" t="s">
        <v>172</v>
      </c>
      <c r="F461" t="s">
        <v>173</v>
      </c>
      <c r="G461">
        <v>-3000</v>
      </c>
      <c r="H461" t="s">
        <v>153</v>
      </c>
      <c r="I461" t="s">
        <v>64</v>
      </c>
    </row>
    <row r="462" spans="1:9">
      <c r="A462" s="49">
        <v>46046</v>
      </c>
      <c r="B462" s="50">
        <v>0.5014583333333333</v>
      </c>
      <c r="C462" t="s">
        <v>150</v>
      </c>
      <c r="D462" t="s">
        <v>35</v>
      </c>
      <c r="E462" t="s">
        <v>169</v>
      </c>
      <c r="F462" t="s">
        <v>187</v>
      </c>
      <c r="G462">
        <v>770</v>
      </c>
      <c r="H462" t="s">
        <v>153</v>
      </c>
      <c r="I462" t="s">
        <v>171</v>
      </c>
    </row>
    <row r="463" spans="1:9">
      <c r="A463" s="49">
        <v>46046</v>
      </c>
      <c r="B463" s="50">
        <v>0.5014467592592593</v>
      </c>
      <c r="C463" t="s">
        <v>150</v>
      </c>
      <c r="D463" t="s">
        <v>40</v>
      </c>
      <c r="E463" t="s">
        <v>172</v>
      </c>
      <c r="F463" t="s">
        <v>173</v>
      </c>
      <c r="G463">
        <v>-770</v>
      </c>
      <c r="H463" t="s">
        <v>153</v>
      </c>
      <c r="I463" t="s">
        <v>64</v>
      </c>
    </row>
    <row r="464" spans="1:9">
      <c r="A464" s="49">
        <v>46046</v>
      </c>
      <c r="B464" s="50">
        <v>0.203599537037037</v>
      </c>
      <c r="C464" t="s">
        <v>167</v>
      </c>
      <c r="D464" t="s">
        <v>28</v>
      </c>
      <c r="E464" t="s">
        <v>32</v>
      </c>
      <c r="F464" t="s">
        <v>278</v>
      </c>
      <c r="G464">
        <v>1612</v>
      </c>
      <c r="H464" t="s">
        <v>153</v>
      </c>
      <c r="I464" t="s">
        <v>64</v>
      </c>
    </row>
    <row r="465" spans="1:9">
      <c r="A465" s="49">
        <v>46046</v>
      </c>
      <c r="B465" s="50">
        <v>0.1471064814814815</v>
      </c>
      <c r="C465" t="s">
        <v>150</v>
      </c>
      <c r="D465" t="s">
        <v>42</v>
      </c>
      <c r="E465" t="s">
        <v>177</v>
      </c>
      <c r="F465" t="s">
        <v>417</v>
      </c>
      <c r="G465">
        <v>-5000</v>
      </c>
      <c r="H465" t="s">
        <v>153</v>
      </c>
      <c r="I465" t="s">
        <v>214</v>
      </c>
    </row>
    <row r="466" spans="1:9">
      <c r="A466" s="49">
        <v>46046</v>
      </c>
      <c r="B466" s="50">
        <v>0.106400462962963</v>
      </c>
      <c r="C466" t="s">
        <v>155</v>
      </c>
      <c r="D466" t="s">
        <v>241</v>
      </c>
      <c r="E466" t="s">
        <v>32</v>
      </c>
      <c r="F466" t="s">
        <v>279</v>
      </c>
      <c r="G466">
        <v>0</v>
      </c>
      <c r="H466" t="s">
        <v>153</v>
      </c>
      <c r="I466" t="s">
        <v>62</v>
      </c>
    </row>
    <row r="467" spans="1:9">
      <c r="A467" s="49">
        <v>46045</v>
      </c>
      <c r="B467" s="50">
        <v>0.9597453703703703</v>
      </c>
      <c r="C467" t="s">
        <v>155</v>
      </c>
      <c r="D467" t="s">
        <v>155</v>
      </c>
      <c r="E467" t="s">
        <v>32</v>
      </c>
      <c r="F467" t="s">
        <v>418</v>
      </c>
      <c r="G467">
        <v>499000</v>
      </c>
      <c r="H467" t="s">
        <v>153</v>
      </c>
      <c r="I467" t="s">
        <v>64</v>
      </c>
    </row>
    <row r="468" spans="1:9">
      <c r="A468" s="49">
        <v>46045</v>
      </c>
      <c r="B468" s="50">
        <v>0.9355439814814814</v>
      </c>
      <c r="C468" t="s">
        <v>155</v>
      </c>
      <c r="D468" t="s">
        <v>155</v>
      </c>
      <c r="E468" t="s">
        <v>32</v>
      </c>
      <c r="F468" t="s">
        <v>235</v>
      </c>
      <c r="G468">
        <v>-1155032</v>
      </c>
      <c r="H468" t="s">
        <v>153</v>
      </c>
      <c r="I468" t="s">
        <v>64</v>
      </c>
    </row>
    <row r="469" spans="1:9">
      <c r="A469" s="49">
        <v>46045</v>
      </c>
      <c r="B469" s="50">
        <v>0.8005324074074074</v>
      </c>
      <c r="C469" t="s">
        <v>155</v>
      </c>
      <c r="D469" t="s">
        <v>155</v>
      </c>
      <c r="E469" t="s">
        <v>32</v>
      </c>
      <c r="F469" t="s">
        <v>419</v>
      </c>
      <c r="G469">
        <v>499000</v>
      </c>
      <c r="H469" t="s">
        <v>153</v>
      </c>
      <c r="I469" t="s">
        <v>64</v>
      </c>
    </row>
    <row r="470" spans="1:9">
      <c r="A470" s="49">
        <v>46045</v>
      </c>
      <c r="B470" s="50">
        <v>0.7556944444444444</v>
      </c>
      <c r="C470" t="s">
        <v>150</v>
      </c>
      <c r="D470" t="s">
        <v>42</v>
      </c>
      <c r="E470" t="s">
        <v>177</v>
      </c>
      <c r="F470" t="s">
        <v>420</v>
      </c>
      <c r="G470">
        <v>-40000</v>
      </c>
      <c r="H470" t="s">
        <v>153</v>
      </c>
      <c r="I470" t="s">
        <v>214</v>
      </c>
    </row>
    <row r="471" spans="1:9">
      <c r="A471" s="49">
        <v>46045</v>
      </c>
      <c r="B471" s="50">
        <v>0.5457638888888889</v>
      </c>
      <c r="C471" t="s">
        <v>150</v>
      </c>
      <c r="D471" t="s">
        <v>36</v>
      </c>
      <c r="E471" t="s">
        <v>191</v>
      </c>
      <c r="F471" t="s">
        <v>192</v>
      </c>
      <c r="G471">
        <v>-20560</v>
      </c>
      <c r="H471" t="s">
        <v>153</v>
      </c>
      <c r="I471" t="s">
        <v>157</v>
      </c>
    </row>
    <row r="472" spans="1:9">
      <c r="A472" s="49">
        <v>46045</v>
      </c>
      <c r="B472" s="50">
        <v>0.510462962962963</v>
      </c>
      <c r="C472" t="s">
        <v>150</v>
      </c>
      <c r="D472" t="s">
        <v>48</v>
      </c>
      <c r="E472" t="s">
        <v>196</v>
      </c>
      <c r="F472" t="s">
        <v>421</v>
      </c>
      <c r="G472">
        <v>-26800</v>
      </c>
      <c r="H472" t="s">
        <v>153</v>
      </c>
      <c r="I472" t="s">
        <v>214</v>
      </c>
    </row>
    <row r="473" spans="1:9">
      <c r="A473" s="49">
        <v>46044</v>
      </c>
      <c r="B473" s="50">
        <v>0.7526041666666666</v>
      </c>
      <c r="C473" t="s">
        <v>150</v>
      </c>
      <c r="D473" t="s">
        <v>36</v>
      </c>
      <c r="E473" t="s">
        <v>191</v>
      </c>
      <c r="F473" t="s">
        <v>422</v>
      </c>
      <c r="G473">
        <v>-20000</v>
      </c>
      <c r="H473" t="s">
        <v>153</v>
      </c>
      <c r="I473" t="s">
        <v>64</v>
      </c>
    </row>
    <row r="474" spans="1:9">
      <c r="A474" s="49">
        <v>46044</v>
      </c>
      <c r="B474" s="50">
        <v>0.4819791666666667</v>
      </c>
      <c r="C474" t="s">
        <v>155</v>
      </c>
      <c r="D474" t="s">
        <v>155</v>
      </c>
      <c r="E474" t="s">
        <v>32</v>
      </c>
      <c r="F474" t="s">
        <v>295</v>
      </c>
      <c r="G474">
        <v>6633</v>
      </c>
      <c r="H474" t="s">
        <v>153</v>
      </c>
      <c r="I474" t="s">
        <v>157</v>
      </c>
    </row>
    <row r="475" spans="1:9">
      <c r="A475" s="49">
        <v>46044</v>
      </c>
      <c r="B475" s="50">
        <v>0.4499074074074074</v>
      </c>
      <c r="C475" t="s">
        <v>150</v>
      </c>
      <c r="D475" t="s">
        <v>35</v>
      </c>
      <c r="E475" t="s">
        <v>174</v>
      </c>
      <c r="F475" t="s">
        <v>314</v>
      </c>
      <c r="G475">
        <v>-10000</v>
      </c>
      <c r="H475" t="s">
        <v>153</v>
      </c>
      <c r="I475" t="s">
        <v>64</v>
      </c>
    </row>
    <row r="476" spans="1:9">
      <c r="A476" s="49">
        <v>46043</v>
      </c>
      <c r="B476" s="50">
        <v>0.8458217592592593</v>
      </c>
      <c r="C476" t="s">
        <v>155</v>
      </c>
      <c r="D476" t="s">
        <v>155</v>
      </c>
      <c r="E476" t="s">
        <v>32</v>
      </c>
      <c r="F476" t="s">
        <v>423</v>
      </c>
      <c r="G476">
        <v>499000</v>
      </c>
      <c r="H476" t="s">
        <v>153</v>
      </c>
      <c r="I476" t="s">
        <v>64</v>
      </c>
    </row>
    <row r="477" spans="1:9">
      <c r="A477" s="49">
        <v>46043</v>
      </c>
      <c r="B477" s="50">
        <v>0.8349884259259259</v>
      </c>
      <c r="C477" t="s">
        <v>155</v>
      </c>
      <c r="D477" t="s">
        <v>155</v>
      </c>
      <c r="E477" t="s">
        <v>32</v>
      </c>
      <c r="F477" t="s">
        <v>424</v>
      </c>
      <c r="G477">
        <v>499000</v>
      </c>
      <c r="H477" t="s">
        <v>153</v>
      </c>
      <c r="I477" t="s">
        <v>64</v>
      </c>
    </row>
    <row r="478" spans="1:9">
      <c r="A478" s="49">
        <v>46043</v>
      </c>
      <c r="B478" s="50">
        <v>0.6812847222222222</v>
      </c>
      <c r="C478" t="s">
        <v>150</v>
      </c>
      <c r="D478" t="s">
        <v>43</v>
      </c>
      <c r="E478" t="s">
        <v>389</v>
      </c>
      <c r="F478" t="s">
        <v>425</v>
      </c>
      <c r="G478">
        <v>-20000</v>
      </c>
      <c r="H478" t="s">
        <v>153</v>
      </c>
      <c r="I478" t="s">
        <v>64</v>
      </c>
    </row>
    <row r="479" spans="1:9">
      <c r="A479" s="49">
        <v>46043</v>
      </c>
      <c r="B479" s="50">
        <v>0.6687384259259259</v>
      </c>
      <c r="C479" t="s">
        <v>155</v>
      </c>
      <c r="D479" t="s">
        <v>229</v>
      </c>
      <c r="E479" t="s">
        <v>32</v>
      </c>
      <c r="F479" t="s">
        <v>426</v>
      </c>
      <c r="G479">
        <v>1</v>
      </c>
      <c r="H479" t="s">
        <v>153</v>
      </c>
      <c r="I479" t="s">
        <v>64</v>
      </c>
    </row>
    <row r="480" spans="1:9">
      <c r="A480" s="49">
        <v>46043</v>
      </c>
      <c r="B480" s="50">
        <v>0.5772222222222222</v>
      </c>
      <c r="C480" t="s">
        <v>150</v>
      </c>
      <c r="D480" t="s">
        <v>40</v>
      </c>
      <c r="E480" t="s">
        <v>427</v>
      </c>
      <c r="F480" t="s">
        <v>428</v>
      </c>
      <c r="G480">
        <v>-97670</v>
      </c>
      <c r="H480" t="s">
        <v>153</v>
      </c>
      <c r="I480" t="s">
        <v>214</v>
      </c>
    </row>
    <row r="481" spans="1:9">
      <c r="A481" s="49">
        <v>46043</v>
      </c>
      <c r="B481" s="50">
        <v>0.5736226851851852</v>
      </c>
      <c r="C481" t="s">
        <v>150</v>
      </c>
      <c r="D481" t="s">
        <v>47</v>
      </c>
      <c r="E481" t="s">
        <v>292</v>
      </c>
      <c r="F481" t="s">
        <v>293</v>
      </c>
      <c r="G481">
        <v>-32990</v>
      </c>
      <c r="H481" t="s">
        <v>153</v>
      </c>
      <c r="I481" t="s">
        <v>164</v>
      </c>
    </row>
    <row r="482" spans="1:9">
      <c r="A482" s="49">
        <v>46043</v>
      </c>
      <c r="B482" s="50">
        <v>0.4967013888888889</v>
      </c>
      <c r="C482" t="s">
        <v>155</v>
      </c>
      <c r="D482" t="s">
        <v>155</v>
      </c>
      <c r="E482" t="s">
        <v>32</v>
      </c>
      <c r="F482" t="s">
        <v>429</v>
      </c>
      <c r="G482">
        <v>499000</v>
      </c>
      <c r="H482" t="s">
        <v>153</v>
      </c>
      <c r="I482" t="s">
        <v>64</v>
      </c>
    </row>
    <row r="483" spans="1:9">
      <c r="A483" s="49">
        <v>46043</v>
      </c>
      <c r="B483" s="50">
        <v>0.3210879629629629</v>
      </c>
      <c r="C483" t="s">
        <v>155</v>
      </c>
      <c r="D483" t="s">
        <v>155</v>
      </c>
      <c r="E483" t="s">
        <v>32</v>
      </c>
      <c r="F483" t="s">
        <v>430</v>
      </c>
      <c r="G483">
        <v>499000</v>
      </c>
      <c r="H483" t="s">
        <v>153</v>
      </c>
      <c r="I483" t="s">
        <v>64</v>
      </c>
    </row>
    <row r="484" spans="1:9">
      <c r="A484" s="49">
        <v>46042</v>
      </c>
      <c r="B484" s="50">
        <v>0.750625</v>
      </c>
      <c r="C484" t="s">
        <v>150</v>
      </c>
      <c r="D484" t="s">
        <v>35</v>
      </c>
      <c r="E484" t="s">
        <v>174</v>
      </c>
      <c r="F484" t="s">
        <v>314</v>
      </c>
      <c r="G484">
        <v>-10000</v>
      </c>
      <c r="H484" t="s">
        <v>153</v>
      </c>
      <c r="I484" t="s">
        <v>64</v>
      </c>
    </row>
    <row r="485" spans="1:9">
      <c r="A485" s="49">
        <v>46042</v>
      </c>
      <c r="B485" s="50">
        <v>0.7172569444444444</v>
      </c>
      <c r="C485" t="s">
        <v>150</v>
      </c>
      <c r="D485" t="s">
        <v>35</v>
      </c>
      <c r="E485" t="s">
        <v>169</v>
      </c>
      <c r="F485" t="s">
        <v>187</v>
      </c>
      <c r="G485">
        <v>-955</v>
      </c>
      <c r="H485" t="s">
        <v>153</v>
      </c>
      <c r="I485" t="s">
        <v>171</v>
      </c>
    </row>
    <row r="486" spans="1:9">
      <c r="A486" s="49">
        <v>46042</v>
      </c>
      <c r="B486" s="50">
        <v>0.6939120370370371</v>
      </c>
      <c r="C486" t="s">
        <v>155</v>
      </c>
      <c r="D486" t="s">
        <v>155</v>
      </c>
      <c r="E486" t="s">
        <v>32</v>
      </c>
      <c r="F486" t="s">
        <v>431</v>
      </c>
      <c r="G486">
        <v>499000</v>
      </c>
      <c r="H486" t="s">
        <v>153</v>
      </c>
      <c r="I486" t="s">
        <v>64</v>
      </c>
    </row>
    <row r="487" spans="1:9">
      <c r="A487" s="49">
        <v>46042</v>
      </c>
      <c r="B487" s="50">
        <v>0.5866898148148149</v>
      </c>
      <c r="C487" t="s">
        <v>150</v>
      </c>
      <c r="D487" t="s">
        <v>48</v>
      </c>
      <c r="E487" t="s">
        <v>185</v>
      </c>
      <c r="F487" t="s">
        <v>186</v>
      </c>
      <c r="G487">
        <v>-6000</v>
      </c>
      <c r="H487" t="s">
        <v>153</v>
      </c>
      <c r="I487" t="s">
        <v>214</v>
      </c>
    </row>
    <row r="488" spans="1:9">
      <c r="A488" s="49">
        <v>46042</v>
      </c>
      <c r="B488" s="50">
        <v>0.4650810185185185</v>
      </c>
      <c r="C488" t="s">
        <v>155</v>
      </c>
      <c r="D488" t="s">
        <v>229</v>
      </c>
      <c r="E488" t="s">
        <v>32</v>
      </c>
      <c r="F488" t="s">
        <v>432</v>
      </c>
      <c r="G488">
        <v>1229999</v>
      </c>
      <c r="H488" t="s">
        <v>153</v>
      </c>
      <c r="I488" t="s">
        <v>64</v>
      </c>
    </row>
    <row r="489" spans="1:9">
      <c r="A489" s="49">
        <v>46041</v>
      </c>
      <c r="B489" s="50">
        <v>0.9596180555555556</v>
      </c>
      <c r="C489" t="s">
        <v>155</v>
      </c>
      <c r="D489" t="s">
        <v>155</v>
      </c>
      <c r="E489" t="s">
        <v>32</v>
      </c>
      <c r="F489" t="s">
        <v>433</v>
      </c>
      <c r="G489">
        <v>499000</v>
      </c>
      <c r="H489" t="s">
        <v>153</v>
      </c>
      <c r="I489" t="s">
        <v>64</v>
      </c>
    </row>
    <row r="490" spans="1:9">
      <c r="A490" s="49">
        <v>46041</v>
      </c>
      <c r="B490" s="50">
        <v>0.8681597222222223</v>
      </c>
      <c r="C490" t="s">
        <v>155</v>
      </c>
      <c r="D490" t="s">
        <v>155</v>
      </c>
      <c r="E490" t="s">
        <v>32</v>
      </c>
      <c r="F490" t="s">
        <v>434</v>
      </c>
      <c r="G490">
        <v>499000</v>
      </c>
      <c r="H490" t="s">
        <v>153</v>
      </c>
      <c r="I490" t="s">
        <v>64</v>
      </c>
    </row>
    <row r="491" spans="1:9">
      <c r="A491" s="49">
        <v>46041</v>
      </c>
      <c r="B491" s="50">
        <v>0.8589699074074074</v>
      </c>
      <c r="C491" t="s">
        <v>150</v>
      </c>
      <c r="D491" t="s">
        <v>48</v>
      </c>
      <c r="E491" t="s">
        <v>185</v>
      </c>
      <c r="F491" t="s">
        <v>435</v>
      </c>
      <c r="G491">
        <v>-60000</v>
      </c>
      <c r="H491" t="s">
        <v>153</v>
      </c>
      <c r="I491" t="s">
        <v>214</v>
      </c>
    </row>
    <row r="492" spans="1:9">
      <c r="A492" s="49">
        <v>46041</v>
      </c>
      <c r="B492" s="50">
        <v>0.7900462962962963</v>
      </c>
      <c r="C492" t="s">
        <v>150</v>
      </c>
      <c r="D492" t="s">
        <v>36</v>
      </c>
      <c r="E492" t="s">
        <v>191</v>
      </c>
      <c r="F492" t="s">
        <v>192</v>
      </c>
      <c r="G492">
        <v>-11000</v>
      </c>
      <c r="H492" t="s">
        <v>153</v>
      </c>
      <c r="I492" t="s">
        <v>157</v>
      </c>
    </row>
    <row r="493" spans="1:9">
      <c r="A493" s="49">
        <v>46041</v>
      </c>
      <c r="B493" s="50">
        <v>0.7613773148148149</v>
      </c>
      <c r="C493" t="s">
        <v>155</v>
      </c>
      <c r="D493" t="s">
        <v>155</v>
      </c>
      <c r="E493" t="s">
        <v>32</v>
      </c>
      <c r="F493" t="s">
        <v>235</v>
      </c>
      <c r="G493">
        <v>-609210</v>
      </c>
      <c r="H493" t="s">
        <v>153</v>
      </c>
      <c r="I493" t="s">
        <v>64</v>
      </c>
    </row>
    <row r="494" spans="1:9">
      <c r="A494" s="49">
        <v>46041</v>
      </c>
      <c r="B494" s="50">
        <v>0.4008449074074074</v>
      </c>
      <c r="C494" t="s">
        <v>155</v>
      </c>
      <c r="D494" t="s">
        <v>155</v>
      </c>
      <c r="E494" t="s">
        <v>32</v>
      </c>
      <c r="F494" t="s">
        <v>436</v>
      </c>
      <c r="G494">
        <v>499000</v>
      </c>
      <c r="H494" t="s">
        <v>153</v>
      </c>
      <c r="I494" t="s">
        <v>64</v>
      </c>
    </row>
    <row r="495" spans="1:9">
      <c r="A495" s="49">
        <v>46041</v>
      </c>
      <c r="B495" s="50">
        <v>0.2567939814814815</v>
      </c>
      <c r="C495" t="s">
        <v>150</v>
      </c>
      <c r="D495" t="s">
        <v>47</v>
      </c>
      <c r="E495" t="s">
        <v>292</v>
      </c>
      <c r="F495" t="s">
        <v>437</v>
      </c>
      <c r="G495">
        <v>-151935</v>
      </c>
      <c r="H495" t="s">
        <v>153</v>
      </c>
      <c r="I495" t="s">
        <v>214</v>
      </c>
    </row>
    <row r="496" spans="1:9">
      <c r="A496" s="49">
        <v>46040</v>
      </c>
      <c r="B496" s="50">
        <v>0.9441898148148148</v>
      </c>
      <c r="C496" t="s">
        <v>150</v>
      </c>
      <c r="D496" t="s">
        <v>35</v>
      </c>
      <c r="E496" t="s">
        <v>174</v>
      </c>
      <c r="F496" t="s">
        <v>314</v>
      </c>
      <c r="G496">
        <v>-20000</v>
      </c>
      <c r="H496" t="s">
        <v>153</v>
      </c>
      <c r="I496" t="s">
        <v>64</v>
      </c>
    </row>
    <row r="497" spans="1:9">
      <c r="A497" s="49">
        <v>46040</v>
      </c>
      <c r="B497" s="50">
        <v>0.9376388888888889</v>
      </c>
      <c r="C497" t="s">
        <v>150</v>
      </c>
      <c r="D497" t="s">
        <v>36</v>
      </c>
      <c r="E497" t="s">
        <v>191</v>
      </c>
      <c r="F497" t="s">
        <v>192</v>
      </c>
      <c r="G497">
        <v>-5900</v>
      </c>
      <c r="H497" t="s">
        <v>153</v>
      </c>
      <c r="I497" t="s">
        <v>157</v>
      </c>
    </row>
    <row r="498" spans="1:9">
      <c r="A498" s="49">
        <v>46040</v>
      </c>
      <c r="B498" s="50">
        <v>0.9210069444444444</v>
      </c>
      <c r="C498" t="s">
        <v>150</v>
      </c>
      <c r="D498" t="s">
        <v>35</v>
      </c>
      <c r="E498" t="s">
        <v>174</v>
      </c>
      <c r="F498" t="s">
        <v>314</v>
      </c>
      <c r="G498">
        <v>-10000</v>
      </c>
      <c r="H498" t="s">
        <v>153</v>
      </c>
      <c r="I498" t="s">
        <v>64</v>
      </c>
    </row>
    <row r="499" spans="1:9">
      <c r="A499" s="49">
        <v>46040</v>
      </c>
      <c r="B499" s="50">
        <v>0.8419097222222223</v>
      </c>
      <c r="C499" t="s">
        <v>150</v>
      </c>
      <c r="D499" t="s">
        <v>42</v>
      </c>
      <c r="E499" t="s">
        <v>212</v>
      </c>
      <c r="F499" t="s">
        <v>213</v>
      </c>
      <c r="G499">
        <v>-86000</v>
      </c>
      <c r="H499" t="s">
        <v>153</v>
      </c>
      <c r="I499" t="s">
        <v>214</v>
      </c>
    </row>
    <row r="500" spans="1:9">
      <c r="A500" s="49">
        <v>46040</v>
      </c>
      <c r="B500" s="50">
        <v>0.8217013888888889</v>
      </c>
      <c r="C500" t="s">
        <v>150</v>
      </c>
      <c r="D500" t="s">
        <v>36</v>
      </c>
      <c r="E500" t="s">
        <v>191</v>
      </c>
      <c r="F500" t="s">
        <v>192</v>
      </c>
      <c r="G500">
        <v>-41550</v>
      </c>
      <c r="H500" t="s">
        <v>153</v>
      </c>
      <c r="I500" t="s">
        <v>157</v>
      </c>
    </row>
    <row r="501" spans="1:9">
      <c r="A501" s="49">
        <v>46040</v>
      </c>
      <c r="B501" s="50">
        <v>0.7752662037037037</v>
      </c>
      <c r="C501" t="s">
        <v>150</v>
      </c>
      <c r="D501" t="s">
        <v>37</v>
      </c>
      <c r="E501" t="s">
        <v>438</v>
      </c>
      <c r="F501" t="s">
        <v>439</v>
      </c>
      <c r="G501">
        <v>-6000</v>
      </c>
      <c r="H501" t="s">
        <v>153</v>
      </c>
      <c r="I501" t="s">
        <v>214</v>
      </c>
    </row>
    <row r="502" spans="1:9">
      <c r="A502" s="49">
        <v>46040</v>
      </c>
      <c r="B502" s="50">
        <v>0.7443518518518518</v>
      </c>
      <c r="C502" t="s">
        <v>150</v>
      </c>
      <c r="D502" t="s">
        <v>49</v>
      </c>
      <c r="E502" t="s">
        <v>304</v>
      </c>
      <c r="F502" t="s">
        <v>440</v>
      </c>
      <c r="G502">
        <v>-9000</v>
      </c>
      <c r="H502" t="s">
        <v>153</v>
      </c>
      <c r="I502" t="s">
        <v>214</v>
      </c>
    </row>
    <row r="503" spans="1:9">
      <c r="A503" s="49">
        <v>46040</v>
      </c>
      <c r="B503" s="50">
        <v>0.7340740740740741</v>
      </c>
      <c r="C503" t="s">
        <v>150</v>
      </c>
      <c r="D503" t="s">
        <v>40</v>
      </c>
      <c r="E503" t="s">
        <v>172</v>
      </c>
      <c r="F503" t="s">
        <v>441</v>
      </c>
      <c r="G503">
        <v>-3600</v>
      </c>
      <c r="H503" t="s">
        <v>153</v>
      </c>
      <c r="I503" t="s">
        <v>214</v>
      </c>
    </row>
    <row r="504" spans="1:9">
      <c r="A504" s="49">
        <v>46040</v>
      </c>
      <c r="B504" s="50">
        <v>0.7193171296296297</v>
      </c>
      <c r="C504" t="s">
        <v>155</v>
      </c>
      <c r="D504" t="s">
        <v>155</v>
      </c>
      <c r="E504" t="s">
        <v>32</v>
      </c>
      <c r="F504" t="s">
        <v>442</v>
      </c>
      <c r="G504">
        <v>-129000</v>
      </c>
      <c r="H504" t="s">
        <v>153</v>
      </c>
      <c r="I504" t="s">
        <v>64</v>
      </c>
    </row>
    <row r="505" spans="1:9">
      <c r="A505" s="49">
        <v>46040</v>
      </c>
      <c r="B505" s="50">
        <v>0.3715162037037037</v>
      </c>
      <c r="C505" t="s">
        <v>150</v>
      </c>
      <c r="D505" t="s">
        <v>36</v>
      </c>
      <c r="E505" t="s">
        <v>191</v>
      </c>
      <c r="F505" t="s">
        <v>192</v>
      </c>
      <c r="G505">
        <v>-3900</v>
      </c>
      <c r="H505" t="s">
        <v>153</v>
      </c>
      <c r="I505" t="s">
        <v>157</v>
      </c>
    </row>
    <row r="506" spans="1:9">
      <c r="A506" s="49">
        <v>46040</v>
      </c>
      <c r="B506" s="50">
        <v>0.00775462962962963</v>
      </c>
      <c r="C506" t="s">
        <v>155</v>
      </c>
      <c r="D506" t="s">
        <v>155</v>
      </c>
      <c r="E506" t="s">
        <v>32</v>
      </c>
      <c r="F506" t="s">
        <v>443</v>
      </c>
      <c r="G506">
        <v>499000</v>
      </c>
      <c r="H506" t="s">
        <v>153</v>
      </c>
      <c r="I506" t="s">
        <v>64</v>
      </c>
    </row>
    <row r="507" spans="1:9">
      <c r="A507" s="49">
        <v>46039</v>
      </c>
      <c r="B507" s="50">
        <v>0.9367592592592593</v>
      </c>
      <c r="C507" t="s">
        <v>150</v>
      </c>
      <c r="D507" t="s">
        <v>35</v>
      </c>
      <c r="E507" t="s">
        <v>174</v>
      </c>
      <c r="F507" t="s">
        <v>314</v>
      </c>
      <c r="G507">
        <v>-20000</v>
      </c>
      <c r="H507" t="s">
        <v>153</v>
      </c>
      <c r="I507" t="s">
        <v>64</v>
      </c>
    </row>
    <row r="508" spans="1:9">
      <c r="A508" s="49">
        <v>46039</v>
      </c>
      <c r="B508" s="50">
        <v>0.7519907407407408</v>
      </c>
      <c r="C508" t="s">
        <v>150</v>
      </c>
      <c r="D508" t="s">
        <v>36</v>
      </c>
      <c r="E508" t="s">
        <v>191</v>
      </c>
      <c r="F508" t="s">
        <v>192</v>
      </c>
      <c r="G508">
        <v>-5133</v>
      </c>
      <c r="H508" t="s">
        <v>153</v>
      </c>
      <c r="I508" t="s">
        <v>157</v>
      </c>
    </row>
    <row r="509" spans="1:9">
      <c r="A509" s="49">
        <v>46039</v>
      </c>
      <c r="B509" s="50">
        <v>0.7470370370370371</v>
      </c>
      <c r="C509" t="s">
        <v>150</v>
      </c>
      <c r="D509" t="s">
        <v>35</v>
      </c>
      <c r="E509" t="s">
        <v>174</v>
      </c>
      <c r="F509" t="s">
        <v>314</v>
      </c>
      <c r="G509">
        <v>-10000</v>
      </c>
      <c r="H509" t="s">
        <v>153</v>
      </c>
      <c r="I509" t="s">
        <v>64</v>
      </c>
    </row>
    <row r="510" spans="1:9">
      <c r="A510" s="49">
        <v>46039</v>
      </c>
      <c r="B510" s="50">
        <v>0.6510300925925926</v>
      </c>
      <c r="C510" t="s">
        <v>150</v>
      </c>
      <c r="D510" t="s">
        <v>36</v>
      </c>
      <c r="E510" t="s">
        <v>191</v>
      </c>
      <c r="F510" t="s">
        <v>192</v>
      </c>
      <c r="G510">
        <v>-4266</v>
      </c>
      <c r="H510" t="s">
        <v>153</v>
      </c>
      <c r="I510" t="s">
        <v>157</v>
      </c>
    </row>
    <row r="511" spans="1:9">
      <c r="A511" s="49">
        <v>46039</v>
      </c>
      <c r="B511" s="50">
        <v>0.5246412037037037</v>
      </c>
      <c r="C511" t="s">
        <v>155</v>
      </c>
      <c r="D511" t="s">
        <v>158</v>
      </c>
      <c r="E511" t="s">
        <v>32</v>
      </c>
      <c r="F511" t="s">
        <v>7</v>
      </c>
      <c r="G511">
        <v>230000</v>
      </c>
      <c r="H511" t="s">
        <v>153</v>
      </c>
      <c r="I511" t="s">
        <v>64</v>
      </c>
    </row>
    <row r="512" spans="1:9">
      <c r="A512" s="49">
        <v>46039</v>
      </c>
      <c r="B512" s="50">
        <v>0.5236921296296296</v>
      </c>
      <c r="C512" t="s">
        <v>155</v>
      </c>
      <c r="D512" t="s">
        <v>158</v>
      </c>
      <c r="E512" t="s">
        <v>32</v>
      </c>
      <c r="F512" t="s">
        <v>7</v>
      </c>
      <c r="G512">
        <v>422500</v>
      </c>
      <c r="H512" t="s">
        <v>153</v>
      </c>
      <c r="I512" t="s">
        <v>64</v>
      </c>
    </row>
    <row r="513" spans="1:9">
      <c r="A513" s="49">
        <v>46039</v>
      </c>
      <c r="B513" s="50">
        <v>0.4874537037037037</v>
      </c>
      <c r="C513" t="s">
        <v>150</v>
      </c>
      <c r="D513" t="s">
        <v>40</v>
      </c>
      <c r="E513" t="s">
        <v>172</v>
      </c>
      <c r="F513" t="s">
        <v>379</v>
      </c>
      <c r="G513">
        <v>-2600</v>
      </c>
      <c r="H513" t="s">
        <v>153</v>
      </c>
      <c r="I513" t="s">
        <v>214</v>
      </c>
    </row>
    <row r="514" spans="1:9">
      <c r="A514" s="49">
        <v>46039</v>
      </c>
      <c r="B514" s="50">
        <v>0.1324421296296296</v>
      </c>
      <c r="C514" t="s">
        <v>150</v>
      </c>
      <c r="D514" t="s">
        <v>48</v>
      </c>
      <c r="E514" t="s">
        <v>185</v>
      </c>
      <c r="F514" t="s">
        <v>199</v>
      </c>
      <c r="G514">
        <v>-2750</v>
      </c>
      <c r="H514" t="s">
        <v>153</v>
      </c>
      <c r="I514" t="s">
        <v>164</v>
      </c>
    </row>
    <row r="515" spans="1:9">
      <c r="A515" s="49">
        <v>46039</v>
      </c>
      <c r="B515" s="50">
        <v>0.1255671296296296</v>
      </c>
      <c r="C515" t="s">
        <v>155</v>
      </c>
      <c r="D515" t="s">
        <v>155</v>
      </c>
      <c r="E515" t="s">
        <v>32</v>
      </c>
      <c r="F515" t="s">
        <v>444</v>
      </c>
      <c r="G515">
        <v>-230000</v>
      </c>
      <c r="H515" t="s">
        <v>153</v>
      </c>
      <c r="I515" t="s">
        <v>64</v>
      </c>
    </row>
    <row r="516" spans="1:9">
      <c r="A516" s="49">
        <v>46039</v>
      </c>
      <c r="B516" s="50">
        <v>0.09436342592592592</v>
      </c>
      <c r="C516" t="s">
        <v>150</v>
      </c>
      <c r="D516" t="s">
        <v>40</v>
      </c>
      <c r="E516" t="s">
        <v>172</v>
      </c>
      <c r="F516" t="s">
        <v>445</v>
      </c>
      <c r="G516">
        <v>-6930</v>
      </c>
      <c r="H516" t="s">
        <v>153</v>
      </c>
      <c r="I516" t="s">
        <v>164</v>
      </c>
    </row>
    <row r="517" spans="1:9">
      <c r="A517" s="49">
        <v>46039</v>
      </c>
      <c r="B517" s="50">
        <v>0.02020833333333333</v>
      </c>
      <c r="C517" t="s">
        <v>150</v>
      </c>
      <c r="D517" t="s">
        <v>40</v>
      </c>
      <c r="E517" t="s">
        <v>172</v>
      </c>
      <c r="F517" t="s">
        <v>446</v>
      </c>
      <c r="G517">
        <v>-5000</v>
      </c>
      <c r="H517" t="s">
        <v>153</v>
      </c>
      <c r="I517" t="s">
        <v>214</v>
      </c>
    </row>
    <row r="518" spans="1:9">
      <c r="A518" s="49">
        <v>46039</v>
      </c>
      <c r="B518" s="50">
        <v>0.01721064814814815</v>
      </c>
      <c r="C518" t="s">
        <v>150</v>
      </c>
      <c r="D518" t="s">
        <v>41</v>
      </c>
      <c r="E518" t="s">
        <v>447</v>
      </c>
      <c r="F518" t="s">
        <v>448</v>
      </c>
      <c r="G518">
        <v>-422500</v>
      </c>
      <c r="H518" t="s">
        <v>153</v>
      </c>
      <c r="I518" t="s">
        <v>214</v>
      </c>
    </row>
    <row r="519" spans="1:9">
      <c r="A519" s="49">
        <v>46039</v>
      </c>
      <c r="B519" s="50">
        <v>0.01645833333333333</v>
      </c>
      <c r="C519" t="s">
        <v>150</v>
      </c>
      <c r="D519" t="s">
        <v>41</v>
      </c>
      <c r="E519" t="s">
        <v>447</v>
      </c>
      <c r="F519" t="s">
        <v>448</v>
      </c>
      <c r="G519">
        <v>392500</v>
      </c>
      <c r="H519" t="s">
        <v>153</v>
      </c>
      <c r="I519" t="s">
        <v>214</v>
      </c>
    </row>
    <row r="520" spans="1:9">
      <c r="A520" s="49">
        <v>46039</v>
      </c>
      <c r="B520" s="50">
        <v>0.0137037037037037</v>
      </c>
      <c r="C520" t="s">
        <v>150</v>
      </c>
      <c r="D520" t="s">
        <v>41</v>
      </c>
      <c r="E520" t="s">
        <v>447</v>
      </c>
      <c r="F520" t="s">
        <v>448</v>
      </c>
      <c r="G520">
        <v>-392500</v>
      </c>
      <c r="H520" t="s">
        <v>153</v>
      </c>
      <c r="I520" t="s">
        <v>214</v>
      </c>
    </row>
    <row r="521" spans="1:9">
      <c r="A521" s="49">
        <v>46038</v>
      </c>
      <c r="B521" s="50">
        <v>0.9066666666666666</v>
      </c>
      <c r="C521" t="s">
        <v>150</v>
      </c>
      <c r="D521" t="s">
        <v>35</v>
      </c>
      <c r="E521" t="s">
        <v>174</v>
      </c>
      <c r="F521" t="s">
        <v>314</v>
      </c>
      <c r="G521">
        <v>-10000</v>
      </c>
      <c r="H521" t="s">
        <v>153</v>
      </c>
      <c r="I521" t="s">
        <v>64</v>
      </c>
    </row>
    <row r="522" spans="1:9">
      <c r="A522" s="49">
        <v>46038</v>
      </c>
      <c r="B522" s="50">
        <v>0.7655092592592593</v>
      </c>
      <c r="C522" t="s">
        <v>150</v>
      </c>
      <c r="D522" t="s">
        <v>36</v>
      </c>
      <c r="E522" t="s">
        <v>191</v>
      </c>
      <c r="F522" t="s">
        <v>192</v>
      </c>
      <c r="G522">
        <v>-7333</v>
      </c>
      <c r="H522" t="s">
        <v>153</v>
      </c>
      <c r="I522" t="s">
        <v>157</v>
      </c>
    </row>
    <row r="523" spans="1:9">
      <c r="A523" s="49">
        <v>46038</v>
      </c>
      <c r="B523" s="50">
        <v>0.7474537037037037</v>
      </c>
      <c r="C523" t="s">
        <v>150</v>
      </c>
      <c r="D523" t="s">
        <v>35</v>
      </c>
      <c r="E523" t="s">
        <v>174</v>
      </c>
      <c r="F523" t="s">
        <v>314</v>
      </c>
      <c r="G523">
        <v>-10000</v>
      </c>
      <c r="H523" t="s">
        <v>153</v>
      </c>
      <c r="I523" t="s">
        <v>64</v>
      </c>
    </row>
    <row r="524" spans="1:9">
      <c r="A524" s="49">
        <v>46038</v>
      </c>
      <c r="B524" s="50">
        <v>0.6600578703703703</v>
      </c>
      <c r="C524" t="s">
        <v>155</v>
      </c>
      <c r="D524" t="s">
        <v>155</v>
      </c>
      <c r="E524" t="s">
        <v>32</v>
      </c>
      <c r="F524" t="s">
        <v>449</v>
      </c>
      <c r="G524">
        <v>499000</v>
      </c>
      <c r="H524" t="s">
        <v>153</v>
      </c>
      <c r="I524" t="s">
        <v>64</v>
      </c>
    </row>
    <row r="525" spans="1:9">
      <c r="A525" s="49">
        <v>46038</v>
      </c>
      <c r="B525" s="50">
        <v>0.4509606481481481</v>
      </c>
      <c r="C525" t="s">
        <v>155</v>
      </c>
      <c r="D525" t="s">
        <v>155</v>
      </c>
      <c r="E525" t="s">
        <v>32</v>
      </c>
      <c r="F525" t="s">
        <v>294</v>
      </c>
      <c r="G525">
        <v>6633</v>
      </c>
      <c r="H525" t="s">
        <v>153</v>
      </c>
      <c r="I525" t="s">
        <v>157</v>
      </c>
    </row>
    <row r="526" spans="1:9">
      <c r="A526" s="49">
        <v>46038</v>
      </c>
      <c r="B526" s="50">
        <v>0.1118402777777778</v>
      </c>
      <c r="C526" t="s">
        <v>167</v>
      </c>
      <c r="D526" t="s">
        <v>30</v>
      </c>
      <c r="E526" t="s">
        <v>32</v>
      </c>
      <c r="F526" t="s">
        <v>211</v>
      </c>
      <c r="G526">
        <v>1</v>
      </c>
      <c r="H526" t="s">
        <v>153</v>
      </c>
      <c r="I526" t="s">
        <v>157</v>
      </c>
    </row>
    <row r="527" spans="1:9">
      <c r="A527" s="49">
        <v>46038</v>
      </c>
      <c r="B527" s="50">
        <v>0.008981481481481481</v>
      </c>
      <c r="C527" t="s">
        <v>155</v>
      </c>
      <c r="D527" t="s">
        <v>158</v>
      </c>
      <c r="E527" t="s">
        <v>32</v>
      </c>
      <c r="F527" t="s">
        <v>450</v>
      </c>
      <c r="G527">
        <v>-66403</v>
      </c>
      <c r="H527" t="s">
        <v>153</v>
      </c>
      <c r="I527" t="s">
        <v>64</v>
      </c>
    </row>
    <row r="528" spans="1:9">
      <c r="A528" s="49">
        <v>46037</v>
      </c>
      <c r="B528" s="50">
        <v>0.7964583333333334</v>
      </c>
      <c r="C528" t="s">
        <v>150</v>
      </c>
      <c r="D528" t="s">
        <v>48</v>
      </c>
      <c r="E528" t="s">
        <v>185</v>
      </c>
      <c r="F528" t="s">
        <v>451</v>
      </c>
      <c r="G528">
        <v>-13000</v>
      </c>
      <c r="H528" t="s">
        <v>153</v>
      </c>
      <c r="I528" t="s">
        <v>214</v>
      </c>
    </row>
    <row r="529" spans="1:9">
      <c r="A529" s="49">
        <v>46037</v>
      </c>
      <c r="B529" s="50">
        <v>0.7625347222222222</v>
      </c>
      <c r="C529" t="s">
        <v>150</v>
      </c>
      <c r="D529" t="s">
        <v>38</v>
      </c>
      <c r="E529" t="s">
        <v>452</v>
      </c>
      <c r="F529" t="s">
        <v>453</v>
      </c>
      <c r="G529">
        <v>-3000</v>
      </c>
      <c r="H529" t="s">
        <v>153</v>
      </c>
      <c r="I529" t="s">
        <v>214</v>
      </c>
    </row>
    <row r="530" spans="1:9">
      <c r="A530" s="49">
        <v>46037</v>
      </c>
      <c r="B530" s="50">
        <v>0.7178240740740741</v>
      </c>
      <c r="C530" t="s">
        <v>167</v>
      </c>
      <c r="D530" t="s">
        <v>31</v>
      </c>
      <c r="E530" t="s">
        <v>32</v>
      </c>
      <c r="F530" t="s">
        <v>168</v>
      </c>
      <c r="G530">
        <v>3000</v>
      </c>
      <c r="H530" t="s">
        <v>153</v>
      </c>
      <c r="I530" t="s">
        <v>64</v>
      </c>
    </row>
    <row r="531" spans="1:9">
      <c r="A531" s="49">
        <v>46037</v>
      </c>
      <c r="B531" s="50">
        <v>0.7178125</v>
      </c>
      <c r="C531" t="s">
        <v>150</v>
      </c>
      <c r="D531" t="s">
        <v>35</v>
      </c>
      <c r="E531" t="s">
        <v>169</v>
      </c>
      <c r="F531" t="s">
        <v>170</v>
      </c>
      <c r="G531">
        <v>-920</v>
      </c>
      <c r="H531" t="s">
        <v>153</v>
      </c>
      <c r="I531" t="s">
        <v>171</v>
      </c>
    </row>
    <row r="532" spans="1:9">
      <c r="A532" s="49">
        <v>46037</v>
      </c>
      <c r="B532" s="50">
        <v>0.715</v>
      </c>
      <c r="C532" t="s">
        <v>150</v>
      </c>
      <c r="D532" t="s">
        <v>35</v>
      </c>
      <c r="E532" t="s">
        <v>169</v>
      </c>
      <c r="F532" t="s">
        <v>170</v>
      </c>
      <c r="G532">
        <v>3000</v>
      </c>
      <c r="H532" t="s">
        <v>153</v>
      </c>
      <c r="I532" t="s">
        <v>171</v>
      </c>
    </row>
    <row r="533" spans="1:9">
      <c r="A533" s="49">
        <v>46037</v>
      </c>
      <c r="B533" s="50">
        <v>0.715</v>
      </c>
      <c r="C533" t="s">
        <v>150</v>
      </c>
      <c r="D533" t="s">
        <v>40</v>
      </c>
      <c r="E533" t="s">
        <v>172</v>
      </c>
      <c r="F533" t="s">
        <v>173</v>
      </c>
      <c r="G533">
        <v>-3000</v>
      </c>
      <c r="H533" t="s">
        <v>153</v>
      </c>
      <c r="I533" t="s">
        <v>64</v>
      </c>
    </row>
    <row r="534" spans="1:9">
      <c r="A534" s="49">
        <v>46036</v>
      </c>
      <c r="B534" s="50">
        <v>0.896099537037037</v>
      </c>
      <c r="C534" t="s">
        <v>150</v>
      </c>
      <c r="D534" t="s">
        <v>42</v>
      </c>
      <c r="E534" t="s">
        <v>177</v>
      </c>
      <c r="F534" t="s">
        <v>454</v>
      </c>
      <c r="G534">
        <v>-79000</v>
      </c>
      <c r="H534" t="s">
        <v>153</v>
      </c>
      <c r="I534" t="s">
        <v>214</v>
      </c>
    </row>
    <row r="535" spans="1:9">
      <c r="A535" s="49">
        <v>46036</v>
      </c>
      <c r="B535" s="50">
        <v>0.4473495370370371</v>
      </c>
      <c r="C535" t="s">
        <v>155</v>
      </c>
      <c r="D535" t="s">
        <v>155</v>
      </c>
      <c r="E535" t="s">
        <v>32</v>
      </c>
      <c r="F535" t="s">
        <v>455</v>
      </c>
      <c r="G535">
        <v>499000</v>
      </c>
      <c r="H535" t="s">
        <v>153</v>
      </c>
      <c r="I535" t="s">
        <v>64</v>
      </c>
    </row>
    <row r="536" spans="1:9">
      <c r="A536" s="49">
        <v>46036</v>
      </c>
      <c r="B536" s="50">
        <v>0.3946180555555556</v>
      </c>
      <c r="C536" t="s">
        <v>150</v>
      </c>
      <c r="D536" t="s">
        <v>44</v>
      </c>
      <c r="E536" t="s">
        <v>162</v>
      </c>
      <c r="F536" t="s">
        <v>163</v>
      </c>
      <c r="G536">
        <v>-3900</v>
      </c>
      <c r="H536" t="s">
        <v>153</v>
      </c>
      <c r="I536" t="s">
        <v>164</v>
      </c>
    </row>
    <row r="537" spans="1:9">
      <c r="A537" s="49">
        <v>46035</v>
      </c>
      <c r="B537" s="50">
        <v>0.3552430555555556</v>
      </c>
      <c r="C537" t="s">
        <v>150</v>
      </c>
      <c r="D537" t="s">
        <v>42</v>
      </c>
      <c r="E537" t="s">
        <v>374</v>
      </c>
      <c r="F537" t="s">
        <v>375</v>
      </c>
      <c r="G537">
        <v>-4000</v>
      </c>
      <c r="H537" t="s">
        <v>153</v>
      </c>
      <c r="I537" t="s">
        <v>214</v>
      </c>
    </row>
    <row r="538" spans="1:9">
      <c r="A538" s="49">
        <v>46034</v>
      </c>
      <c r="B538" s="50">
        <v>0.9806712962962963</v>
      </c>
      <c r="C538" t="s">
        <v>150</v>
      </c>
      <c r="D538" t="s">
        <v>40</v>
      </c>
      <c r="E538" t="s">
        <v>172</v>
      </c>
      <c r="F538" t="s">
        <v>379</v>
      </c>
      <c r="G538">
        <v>-2900</v>
      </c>
      <c r="H538" t="s">
        <v>153</v>
      </c>
      <c r="I538" t="s">
        <v>214</v>
      </c>
    </row>
    <row r="539" spans="1:9">
      <c r="A539" s="49">
        <v>46034</v>
      </c>
      <c r="B539" s="50">
        <v>0.8722916666666667</v>
      </c>
      <c r="C539" t="s">
        <v>150</v>
      </c>
      <c r="D539" t="s">
        <v>44</v>
      </c>
      <c r="E539" t="s">
        <v>225</v>
      </c>
      <c r="F539" t="s">
        <v>228</v>
      </c>
      <c r="G539">
        <v>-15901</v>
      </c>
      <c r="H539" t="s">
        <v>153</v>
      </c>
      <c r="I539" t="s">
        <v>214</v>
      </c>
    </row>
    <row r="540" spans="1:9">
      <c r="A540" s="49">
        <v>46034</v>
      </c>
      <c r="B540" s="50">
        <v>0.7888194444444444</v>
      </c>
      <c r="C540" t="s">
        <v>155</v>
      </c>
      <c r="D540" t="s">
        <v>155</v>
      </c>
      <c r="E540" t="s">
        <v>32</v>
      </c>
      <c r="F540" t="s">
        <v>456</v>
      </c>
      <c r="G540">
        <v>499000</v>
      </c>
      <c r="H540" t="s">
        <v>153</v>
      </c>
      <c r="I540" t="s">
        <v>64</v>
      </c>
    </row>
    <row r="541" spans="1:9">
      <c r="A541" s="49">
        <v>46034</v>
      </c>
      <c r="B541" s="50">
        <v>0.7751157407407407</v>
      </c>
      <c r="C541" t="s">
        <v>155</v>
      </c>
      <c r="D541" t="s">
        <v>70</v>
      </c>
      <c r="E541" t="s">
        <v>32</v>
      </c>
      <c r="F541" t="s">
        <v>238</v>
      </c>
      <c r="G541">
        <v>-21500</v>
      </c>
      <c r="H541" t="s">
        <v>153</v>
      </c>
      <c r="I541" t="s">
        <v>64</v>
      </c>
    </row>
    <row r="542" spans="1:9">
      <c r="A542" s="49">
        <v>46034</v>
      </c>
      <c r="B542" s="50">
        <v>0.5981481481481481</v>
      </c>
      <c r="C542" t="s">
        <v>155</v>
      </c>
      <c r="D542" t="s">
        <v>155</v>
      </c>
      <c r="E542" t="s">
        <v>32</v>
      </c>
      <c r="F542" t="s">
        <v>294</v>
      </c>
      <c r="G542">
        <v>12000</v>
      </c>
      <c r="H542" t="s">
        <v>153</v>
      </c>
      <c r="I542" t="s">
        <v>157</v>
      </c>
    </row>
    <row r="543" spans="1:9">
      <c r="A543" s="49">
        <v>46034</v>
      </c>
      <c r="B543" s="50">
        <v>0.5974421296296296</v>
      </c>
      <c r="C543" t="s">
        <v>155</v>
      </c>
      <c r="D543" t="s">
        <v>155</v>
      </c>
      <c r="E543" t="s">
        <v>32</v>
      </c>
      <c r="F543" t="s">
        <v>206</v>
      </c>
      <c r="G543">
        <v>12000</v>
      </c>
      <c r="H543" t="s">
        <v>153</v>
      </c>
      <c r="I543" t="s">
        <v>157</v>
      </c>
    </row>
    <row r="544" spans="1:9">
      <c r="A544" s="49">
        <v>46034</v>
      </c>
      <c r="B544" s="50">
        <v>0.4928125</v>
      </c>
      <c r="C544" t="s">
        <v>167</v>
      </c>
      <c r="D544" t="s">
        <v>28</v>
      </c>
      <c r="E544" t="s">
        <v>32</v>
      </c>
      <c r="F544" t="s">
        <v>243</v>
      </c>
      <c r="G544">
        <v>6232</v>
      </c>
      <c r="H544" t="s">
        <v>153</v>
      </c>
      <c r="I544" t="s">
        <v>64</v>
      </c>
    </row>
    <row r="545" spans="1:9">
      <c r="A545" s="49">
        <v>46034</v>
      </c>
      <c r="B545" s="50">
        <v>0.3752777777777778</v>
      </c>
      <c r="C545" t="s">
        <v>150</v>
      </c>
      <c r="D545" t="s">
        <v>34</v>
      </c>
      <c r="E545" t="s">
        <v>322</v>
      </c>
      <c r="F545" t="s">
        <v>323</v>
      </c>
      <c r="G545">
        <v>-109890</v>
      </c>
      <c r="H545" t="s">
        <v>153</v>
      </c>
      <c r="I545" t="s">
        <v>214</v>
      </c>
    </row>
    <row r="546" spans="1:9">
      <c r="A546" s="49">
        <v>46033</v>
      </c>
      <c r="B546" s="50">
        <v>0.5568055555555556</v>
      </c>
      <c r="C546" t="s">
        <v>150</v>
      </c>
      <c r="D546" t="s">
        <v>36</v>
      </c>
      <c r="E546" t="s">
        <v>191</v>
      </c>
      <c r="F546" t="s">
        <v>192</v>
      </c>
      <c r="G546">
        <v>-6900</v>
      </c>
      <c r="H546" t="s">
        <v>153</v>
      </c>
      <c r="I546" t="s">
        <v>157</v>
      </c>
    </row>
    <row r="547" spans="1:9">
      <c r="A547" s="49">
        <v>46033</v>
      </c>
      <c r="B547" s="50">
        <v>0.5567245370370371</v>
      </c>
      <c r="C547" t="s">
        <v>155</v>
      </c>
      <c r="D547" t="s">
        <v>155</v>
      </c>
      <c r="E547" t="s">
        <v>32</v>
      </c>
      <c r="F547" t="s">
        <v>156</v>
      </c>
      <c r="G547">
        <v>2433</v>
      </c>
      <c r="H547" t="s">
        <v>153</v>
      </c>
      <c r="I547" t="s">
        <v>157</v>
      </c>
    </row>
    <row r="548" spans="1:9">
      <c r="A548" s="49">
        <v>46033</v>
      </c>
      <c r="B548" s="50">
        <v>0.5169791666666667</v>
      </c>
      <c r="C548" t="s">
        <v>150</v>
      </c>
      <c r="D548" t="s">
        <v>40</v>
      </c>
      <c r="E548" t="s">
        <v>172</v>
      </c>
      <c r="F548" t="s">
        <v>379</v>
      </c>
      <c r="G548">
        <v>-2400</v>
      </c>
      <c r="H548" t="s">
        <v>153</v>
      </c>
      <c r="I548" t="s">
        <v>214</v>
      </c>
    </row>
    <row r="549" spans="1:9">
      <c r="A549" s="49">
        <v>46033</v>
      </c>
      <c r="B549" s="50">
        <v>0.08045138888888889</v>
      </c>
      <c r="C549" t="s">
        <v>155</v>
      </c>
      <c r="D549" t="s">
        <v>155</v>
      </c>
      <c r="E549" t="s">
        <v>32</v>
      </c>
      <c r="F549" t="s">
        <v>206</v>
      </c>
      <c r="G549">
        <v>2433</v>
      </c>
      <c r="H549" t="s">
        <v>153</v>
      </c>
      <c r="I549" t="s">
        <v>157</v>
      </c>
    </row>
    <row r="550" spans="1:9">
      <c r="A550" s="49">
        <v>46033</v>
      </c>
      <c r="B550" s="50">
        <v>0.07678240740740741</v>
      </c>
      <c r="C550" t="s">
        <v>150</v>
      </c>
      <c r="D550" t="s">
        <v>35</v>
      </c>
      <c r="E550" t="s">
        <v>174</v>
      </c>
      <c r="F550" t="s">
        <v>314</v>
      </c>
      <c r="G550">
        <v>-10000</v>
      </c>
      <c r="H550" t="s">
        <v>153</v>
      </c>
      <c r="I550" t="s">
        <v>64</v>
      </c>
    </row>
    <row r="551" spans="1:9">
      <c r="A551" s="49">
        <v>46033</v>
      </c>
      <c r="B551" s="50">
        <v>0.07089120370370371</v>
      </c>
      <c r="C551" t="s">
        <v>150</v>
      </c>
      <c r="D551" t="s">
        <v>35</v>
      </c>
      <c r="E551" t="s">
        <v>174</v>
      </c>
      <c r="F551" t="s">
        <v>314</v>
      </c>
      <c r="G551">
        <v>-10000</v>
      </c>
      <c r="H551" t="s">
        <v>153</v>
      </c>
      <c r="I551" t="s">
        <v>64</v>
      </c>
    </row>
    <row r="552" spans="1:9">
      <c r="A552" s="49">
        <v>46033</v>
      </c>
      <c r="B552" s="50">
        <v>0.07017361111111112</v>
      </c>
      <c r="C552" t="s">
        <v>150</v>
      </c>
      <c r="D552" t="s">
        <v>37</v>
      </c>
      <c r="E552" t="s">
        <v>457</v>
      </c>
      <c r="F552" t="s">
        <v>458</v>
      </c>
      <c r="G552">
        <v>-44000</v>
      </c>
      <c r="H552" t="s">
        <v>153</v>
      </c>
      <c r="I552" t="s">
        <v>214</v>
      </c>
    </row>
    <row r="553" spans="1:9">
      <c r="A553" s="49">
        <v>46033</v>
      </c>
      <c r="B553" s="50">
        <v>0.03245370370370371</v>
      </c>
      <c r="C553" t="s">
        <v>150</v>
      </c>
      <c r="D553" t="s">
        <v>40</v>
      </c>
      <c r="E553" t="s">
        <v>172</v>
      </c>
      <c r="F553" t="s">
        <v>459</v>
      </c>
      <c r="G553">
        <v>-5000</v>
      </c>
      <c r="H553" t="s">
        <v>153</v>
      </c>
      <c r="I553" t="s">
        <v>214</v>
      </c>
    </row>
    <row r="554" spans="1:9">
      <c r="A554" s="49">
        <v>46032</v>
      </c>
      <c r="B554" s="50">
        <v>0.9951504629629629</v>
      </c>
      <c r="C554" t="s">
        <v>167</v>
      </c>
      <c r="D554" t="s">
        <v>30</v>
      </c>
      <c r="E554" t="s">
        <v>32</v>
      </c>
      <c r="F554" t="s">
        <v>211</v>
      </c>
      <c r="G554">
        <v>1</v>
      </c>
      <c r="H554" t="s">
        <v>153</v>
      </c>
      <c r="I554" t="s">
        <v>157</v>
      </c>
    </row>
    <row r="555" spans="1:9">
      <c r="A555" s="49">
        <v>46032</v>
      </c>
      <c r="B555" s="50">
        <v>0.9944212962962963</v>
      </c>
      <c r="C555" t="s">
        <v>150</v>
      </c>
      <c r="D555" t="s">
        <v>36</v>
      </c>
      <c r="E555" t="s">
        <v>191</v>
      </c>
      <c r="F555" t="s">
        <v>192</v>
      </c>
      <c r="G555">
        <v>-1625</v>
      </c>
      <c r="H555" t="s">
        <v>153</v>
      </c>
      <c r="I555" t="s">
        <v>157</v>
      </c>
    </row>
    <row r="556" spans="1:9">
      <c r="A556" s="49">
        <v>46032</v>
      </c>
      <c r="B556" s="50">
        <v>0.8921759259259259</v>
      </c>
      <c r="C556" t="s">
        <v>155</v>
      </c>
      <c r="D556" t="s">
        <v>155</v>
      </c>
      <c r="E556" t="s">
        <v>32</v>
      </c>
      <c r="F556" t="s">
        <v>460</v>
      </c>
      <c r="G556">
        <v>499000</v>
      </c>
      <c r="H556" t="s">
        <v>153</v>
      </c>
      <c r="I556" t="s">
        <v>64</v>
      </c>
    </row>
    <row r="557" spans="1:9">
      <c r="A557" s="49">
        <v>46032</v>
      </c>
      <c r="B557" s="50">
        <v>0.5866898148148149</v>
      </c>
      <c r="C557" t="s">
        <v>150</v>
      </c>
      <c r="D557" t="s">
        <v>48</v>
      </c>
      <c r="E557" t="s">
        <v>185</v>
      </c>
      <c r="F557" t="s">
        <v>461</v>
      </c>
      <c r="G557">
        <v>-23000</v>
      </c>
      <c r="H557" t="s">
        <v>153</v>
      </c>
      <c r="I557" t="s">
        <v>214</v>
      </c>
    </row>
    <row r="558" spans="1:9">
      <c r="A558" s="49">
        <v>46031</v>
      </c>
      <c r="B558" s="50">
        <v>0.8787731481481481</v>
      </c>
      <c r="C558" t="s">
        <v>150</v>
      </c>
      <c r="D558" t="s">
        <v>40</v>
      </c>
      <c r="E558" t="s">
        <v>172</v>
      </c>
      <c r="F558" t="s">
        <v>462</v>
      </c>
      <c r="G558">
        <v>-3950</v>
      </c>
      <c r="H558" t="s">
        <v>153</v>
      </c>
      <c r="I558" t="s">
        <v>214</v>
      </c>
    </row>
    <row r="559" spans="1:9">
      <c r="A559" s="49">
        <v>46031</v>
      </c>
      <c r="B559" s="50">
        <v>0.8748032407407408</v>
      </c>
      <c r="C559" t="s">
        <v>150</v>
      </c>
      <c r="D559" t="s">
        <v>42</v>
      </c>
      <c r="E559" t="s">
        <v>463</v>
      </c>
      <c r="F559" t="s">
        <v>464</v>
      </c>
      <c r="G559">
        <v>-69000</v>
      </c>
      <c r="H559" t="s">
        <v>153</v>
      </c>
      <c r="I559" t="s">
        <v>214</v>
      </c>
    </row>
    <row r="560" spans="1:9">
      <c r="A560" s="49">
        <v>46031</v>
      </c>
      <c r="B560" s="50">
        <v>0.7654513888888889</v>
      </c>
      <c r="C560" t="s">
        <v>155</v>
      </c>
      <c r="D560" t="s">
        <v>241</v>
      </c>
      <c r="E560" t="s">
        <v>32</v>
      </c>
      <c r="F560" t="s">
        <v>465</v>
      </c>
      <c r="G560">
        <v>900000</v>
      </c>
      <c r="H560" t="s">
        <v>153</v>
      </c>
      <c r="I560" t="s">
        <v>64</v>
      </c>
    </row>
    <row r="561" spans="1:9">
      <c r="A561" s="49">
        <v>46031</v>
      </c>
      <c r="B561" s="50">
        <v>0.454537037037037</v>
      </c>
      <c r="C561" t="s">
        <v>155</v>
      </c>
      <c r="D561" t="s">
        <v>155</v>
      </c>
      <c r="E561" t="s">
        <v>32</v>
      </c>
      <c r="F561" t="s">
        <v>246</v>
      </c>
      <c r="G561">
        <v>-100000</v>
      </c>
      <c r="H561" t="s">
        <v>153</v>
      </c>
      <c r="I561" t="s">
        <v>64</v>
      </c>
    </row>
    <row r="562" spans="1:9">
      <c r="A562" s="49">
        <v>46031</v>
      </c>
      <c r="B562" s="50">
        <v>0.3287962962962963</v>
      </c>
      <c r="C562" t="s">
        <v>155</v>
      </c>
      <c r="D562" t="s">
        <v>155</v>
      </c>
      <c r="E562" t="s">
        <v>32</v>
      </c>
      <c r="F562" t="s">
        <v>466</v>
      </c>
      <c r="G562">
        <v>499900</v>
      </c>
      <c r="H562" t="s">
        <v>153</v>
      </c>
      <c r="I562" t="s">
        <v>64</v>
      </c>
    </row>
    <row r="563" spans="1:9">
      <c r="A563" s="49">
        <v>46031</v>
      </c>
      <c r="B563" s="50">
        <v>0.004074074074074074</v>
      </c>
      <c r="C563" t="s">
        <v>150</v>
      </c>
      <c r="D563" t="s">
        <v>44</v>
      </c>
      <c r="E563" t="s">
        <v>162</v>
      </c>
      <c r="F563" t="s">
        <v>163</v>
      </c>
      <c r="G563">
        <v>-3500</v>
      </c>
      <c r="H563" t="s">
        <v>153</v>
      </c>
      <c r="I563" t="s">
        <v>164</v>
      </c>
    </row>
    <row r="564" spans="1:9">
      <c r="A564" s="49">
        <v>46030</v>
      </c>
      <c r="B564" s="50">
        <v>0.6896527777777778</v>
      </c>
      <c r="C564" t="s">
        <v>155</v>
      </c>
      <c r="D564" t="s">
        <v>155</v>
      </c>
      <c r="E564" t="s">
        <v>32</v>
      </c>
      <c r="F564" t="s">
        <v>467</v>
      </c>
      <c r="G564">
        <v>499000</v>
      </c>
      <c r="H564" t="s">
        <v>153</v>
      </c>
      <c r="I564" t="s">
        <v>64</v>
      </c>
    </row>
    <row r="565" spans="1:9">
      <c r="A565" s="49">
        <v>46030</v>
      </c>
      <c r="B565" s="50">
        <v>0.5075115740740741</v>
      </c>
      <c r="C565" t="s">
        <v>150</v>
      </c>
      <c r="D565" t="s">
        <v>45</v>
      </c>
      <c r="E565" t="s">
        <v>468</v>
      </c>
      <c r="F565" t="s">
        <v>469</v>
      </c>
      <c r="G565">
        <v>-85000</v>
      </c>
      <c r="H565" t="s">
        <v>153</v>
      </c>
      <c r="I565" t="s">
        <v>214</v>
      </c>
    </row>
    <row r="566" spans="1:9">
      <c r="A566" s="49">
        <v>46030</v>
      </c>
      <c r="B566" s="50">
        <v>0.4339699074074074</v>
      </c>
      <c r="C566" t="s">
        <v>155</v>
      </c>
      <c r="D566" t="s">
        <v>155</v>
      </c>
      <c r="E566" t="s">
        <v>32</v>
      </c>
      <c r="F566" t="s">
        <v>470</v>
      </c>
      <c r="G566">
        <v>499000</v>
      </c>
      <c r="H566" t="s">
        <v>153</v>
      </c>
      <c r="I566" t="s">
        <v>64</v>
      </c>
    </row>
    <row r="567" spans="1:9">
      <c r="A567" s="49">
        <v>46030</v>
      </c>
      <c r="B567" s="50">
        <v>0.3582986111111111</v>
      </c>
      <c r="C567" t="s">
        <v>150</v>
      </c>
      <c r="D567" t="s">
        <v>42</v>
      </c>
      <c r="E567" t="s">
        <v>374</v>
      </c>
      <c r="F567" t="s">
        <v>375</v>
      </c>
      <c r="G567">
        <v>-4000</v>
      </c>
      <c r="H567" t="s">
        <v>153</v>
      </c>
      <c r="I567" t="s">
        <v>214</v>
      </c>
    </row>
    <row r="568" spans="1:9">
      <c r="A568" s="49">
        <v>46029</v>
      </c>
      <c r="B568" s="50">
        <v>0.9597916666666667</v>
      </c>
      <c r="C568" t="s">
        <v>150</v>
      </c>
      <c r="D568" t="s">
        <v>48</v>
      </c>
      <c r="E568" t="s">
        <v>185</v>
      </c>
      <c r="F568" t="s">
        <v>471</v>
      </c>
      <c r="G568">
        <v>-2700</v>
      </c>
      <c r="H568" t="s">
        <v>153</v>
      </c>
      <c r="I568" t="s">
        <v>214</v>
      </c>
    </row>
    <row r="569" spans="1:9">
      <c r="A569" s="49">
        <v>46029</v>
      </c>
      <c r="B569" s="50">
        <v>0.9575115740740741</v>
      </c>
      <c r="C569" t="s">
        <v>155</v>
      </c>
      <c r="D569" t="s">
        <v>155</v>
      </c>
      <c r="E569" t="s">
        <v>32</v>
      </c>
      <c r="F569" t="s">
        <v>472</v>
      </c>
      <c r="G569">
        <v>499000</v>
      </c>
      <c r="H569" t="s">
        <v>153</v>
      </c>
      <c r="I569" t="s">
        <v>64</v>
      </c>
    </row>
    <row r="570" spans="1:9">
      <c r="A570" s="49">
        <v>46029</v>
      </c>
      <c r="B570" s="50">
        <v>0.9508101851851852</v>
      </c>
      <c r="C570" t="s">
        <v>150</v>
      </c>
      <c r="D570" t="s">
        <v>37</v>
      </c>
      <c r="E570" t="s">
        <v>438</v>
      </c>
      <c r="F570" t="s">
        <v>473</v>
      </c>
      <c r="G570">
        <v>-4000</v>
      </c>
      <c r="H570" t="s">
        <v>153</v>
      </c>
      <c r="I570" t="s">
        <v>214</v>
      </c>
    </row>
    <row r="571" spans="1:9">
      <c r="A571" s="49">
        <v>46029</v>
      </c>
      <c r="B571" s="50">
        <v>0.9164236111111111</v>
      </c>
      <c r="C571" t="s">
        <v>155</v>
      </c>
      <c r="D571" t="s">
        <v>155</v>
      </c>
      <c r="E571" t="s">
        <v>32</v>
      </c>
      <c r="F571" t="s">
        <v>474</v>
      </c>
      <c r="G571">
        <v>499000</v>
      </c>
      <c r="H571" t="s">
        <v>153</v>
      </c>
      <c r="I571" t="s">
        <v>64</v>
      </c>
    </row>
    <row r="572" spans="1:9">
      <c r="A572" s="49">
        <v>46029</v>
      </c>
      <c r="B572" s="50">
        <v>0.7585995370370371</v>
      </c>
      <c r="C572" t="s">
        <v>150</v>
      </c>
      <c r="D572" t="s">
        <v>48</v>
      </c>
      <c r="E572" t="s">
        <v>185</v>
      </c>
      <c r="F572" t="s">
        <v>475</v>
      </c>
      <c r="G572">
        <v>-11000</v>
      </c>
      <c r="H572" t="s">
        <v>153</v>
      </c>
      <c r="I572" t="s">
        <v>214</v>
      </c>
    </row>
    <row r="573" spans="1:9">
      <c r="A573" s="49">
        <v>46029</v>
      </c>
      <c r="B573" s="50">
        <v>0.6256597222222222</v>
      </c>
      <c r="C573" t="s">
        <v>150</v>
      </c>
      <c r="D573" t="s">
        <v>48</v>
      </c>
      <c r="E573" t="s">
        <v>185</v>
      </c>
      <c r="F573" t="s">
        <v>199</v>
      </c>
      <c r="G573">
        <v>-1920</v>
      </c>
      <c r="H573" t="s">
        <v>153</v>
      </c>
      <c r="I573" t="s">
        <v>164</v>
      </c>
    </row>
    <row r="574" spans="1:9">
      <c r="A574" s="49">
        <v>46029</v>
      </c>
      <c r="B574" s="50">
        <v>0.5733449074074074</v>
      </c>
      <c r="C574" t="s">
        <v>155</v>
      </c>
      <c r="D574" t="s">
        <v>158</v>
      </c>
      <c r="E574" t="s">
        <v>32</v>
      </c>
      <c r="F574" t="s">
        <v>7</v>
      </c>
      <c r="G574">
        <v>500000</v>
      </c>
      <c r="H574" t="s">
        <v>153</v>
      </c>
      <c r="I574" t="s">
        <v>64</v>
      </c>
    </row>
    <row r="575" spans="1:9">
      <c r="A575" s="49">
        <v>46029</v>
      </c>
      <c r="B575" s="50">
        <v>0.5473263888888888</v>
      </c>
      <c r="C575" t="s">
        <v>155</v>
      </c>
      <c r="D575" t="s">
        <v>155</v>
      </c>
      <c r="E575" t="s">
        <v>32</v>
      </c>
      <c r="F575" t="s">
        <v>476</v>
      </c>
      <c r="G575">
        <v>499000</v>
      </c>
      <c r="H575" t="s">
        <v>153</v>
      </c>
      <c r="I575" t="s">
        <v>64</v>
      </c>
    </row>
    <row r="576" spans="1:9">
      <c r="A576" s="49">
        <v>46029</v>
      </c>
      <c r="B576" s="50">
        <v>0.5252777777777777</v>
      </c>
      <c r="C576" t="s">
        <v>150</v>
      </c>
      <c r="D576" t="s">
        <v>42</v>
      </c>
      <c r="E576" t="s">
        <v>374</v>
      </c>
      <c r="F576" t="s">
        <v>375</v>
      </c>
      <c r="G576">
        <v>-40000</v>
      </c>
      <c r="H576" t="s">
        <v>153</v>
      </c>
      <c r="I576" t="s">
        <v>214</v>
      </c>
    </row>
    <row r="577" spans="1:9">
      <c r="A577" s="49">
        <v>46029</v>
      </c>
      <c r="B577" s="50">
        <v>0.3705324074074074</v>
      </c>
      <c r="C577" t="s">
        <v>150</v>
      </c>
      <c r="D577" t="s">
        <v>44</v>
      </c>
      <c r="E577" t="s">
        <v>162</v>
      </c>
      <c r="F577" t="s">
        <v>163</v>
      </c>
      <c r="G577">
        <v>-3500</v>
      </c>
      <c r="H577" t="s">
        <v>153</v>
      </c>
      <c r="I577" t="s">
        <v>164</v>
      </c>
    </row>
    <row r="578" spans="1:9">
      <c r="A578" s="49">
        <v>46028</v>
      </c>
      <c r="B578" s="50">
        <v>0.9887847222222222</v>
      </c>
      <c r="C578" t="s">
        <v>155</v>
      </c>
      <c r="D578" t="s">
        <v>155</v>
      </c>
      <c r="E578" t="s">
        <v>32</v>
      </c>
      <c r="F578" t="s">
        <v>246</v>
      </c>
      <c r="G578">
        <v>-100000</v>
      </c>
      <c r="H578" t="s">
        <v>153</v>
      </c>
      <c r="I578" t="s">
        <v>64</v>
      </c>
    </row>
    <row r="579" spans="1:9">
      <c r="A579" s="49">
        <v>46028</v>
      </c>
      <c r="B579" s="50">
        <v>0.9010300925925926</v>
      </c>
      <c r="C579" t="s">
        <v>150</v>
      </c>
      <c r="D579" t="s">
        <v>36</v>
      </c>
      <c r="E579" t="s">
        <v>191</v>
      </c>
      <c r="F579" t="s">
        <v>192</v>
      </c>
      <c r="G579">
        <v>-2866</v>
      </c>
      <c r="H579" t="s">
        <v>153</v>
      </c>
      <c r="I579" t="s">
        <v>157</v>
      </c>
    </row>
    <row r="580" spans="1:9">
      <c r="A580" s="49">
        <v>46028</v>
      </c>
      <c r="B580" s="50">
        <v>0.7214583333333333</v>
      </c>
      <c r="C580" t="s">
        <v>150</v>
      </c>
      <c r="D580" t="s">
        <v>48</v>
      </c>
      <c r="E580" t="s">
        <v>185</v>
      </c>
      <c r="F580" t="s">
        <v>199</v>
      </c>
      <c r="G580">
        <v>-1740</v>
      </c>
      <c r="H580" t="s">
        <v>153</v>
      </c>
      <c r="I580" t="s">
        <v>164</v>
      </c>
    </row>
    <row r="581" spans="1:9">
      <c r="A581" s="49">
        <v>46028</v>
      </c>
      <c r="B581" s="50">
        <v>0.5471180555555556</v>
      </c>
      <c r="C581" t="s">
        <v>150</v>
      </c>
      <c r="D581" t="s">
        <v>42</v>
      </c>
      <c r="E581" t="s">
        <v>177</v>
      </c>
      <c r="F581" t="s">
        <v>477</v>
      </c>
      <c r="G581">
        <v>-50</v>
      </c>
      <c r="H581" t="s">
        <v>153</v>
      </c>
      <c r="I581" t="s">
        <v>214</v>
      </c>
    </row>
    <row r="582" spans="1:9">
      <c r="A582" s="49">
        <v>46028</v>
      </c>
      <c r="B582" s="50">
        <v>0.5461342592592593</v>
      </c>
      <c r="C582" t="s">
        <v>150</v>
      </c>
      <c r="D582" t="s">
        <v>42</v>
      </c>
      <c r="E582" t="s">
        <v>177</v>
      </c>
      <c r="F582" t="s">
        <v>477</v>
      </c>
      <c r="G582">
        <v>-50</v>
      </c>
      <c r="H582" t="s">
        <v>153</v>
      </c>
      <c r="I582" t="s">
        <v>214</v>
      </c>
    </row>
    <row r="583" spans="1:9">
      <c r="A583" s="49">
        <v>46028</v>
      </c>
      <c r="B583" s="50">
        <v>0.5312268518518518</v>
      </c>
      <c r="C583" t="s">
        <v>150</v>
      </c>
      <c r="D583" t="s">
        <v>44</v>
      </c>
      <c r="E583" t="s">
        <v>315</v>
      </c>
      <c r="F583" t="s">
        <v>316</v>
      </c>
      <c r="G583">
        <v>-2500</v>
      </c>
      <c r="H583" t="s">
        <v>153</v>
      </c>
      <c r="I583" t="s">
        <v>164</v>
      </c>
    </row>
    <row r="584" spans="1:9">
      <c r="A584" s="49">
        <v>46028</v>
      </c>
      <c r="B584" s="50">
        <v>0.5042824074074074</v>
      </c>
      <c r="C584" t="s">
        <v>155</v>
      </c>
      <c r="D584" t="s">
        <v>155</v>
      </c>
      <c r="E584" t="s">
        <v>32</v>
      </c>
      <c r="F584" t="s">
        <v>478</v>
      </c>
      <c r="G584">
        <v>-1700</v>
      </c>
      <c r="H584" t="s">
        <v>153</v>
      </c>
      <c r="I584" t="s">
        <v>157</v>
      </c>
    </row>
    <row r="585" spans="1:9">
      <c r="A585" s="49">
        <v>46028</v>
      </c>
      <c r="B585" s="50">
        <v>0.4991898148148148</v>
      </c>
      <c r="C585" t="s">
        <v>155</v>
      </c>
      <c r="D585" t="s">
        <v>155</v>
      </c>
      <c r="E585" t="s">
        <v>32</v>
      </c>
      <c r="F585" t="s">
        <v>236</v>
      </c>
      <c r="G585">
        <v>-100000</v>
      </c>
      <c r="H585" t="s">
        <v>153</v>
      </c>
      <c r="I585" t="s">
        <v>157</v>
      </c>
    </row>
    <row r="586" spans="1:9">
      <c r="A586" s="49">
        <v>46027</v>
      </c>
      <c r="B586" s="50">
        <v>0.8699768518518518</v>
      </c>
      <c r="C586" t="s">
        <v>155</v>
      </c>
      <c r="D586" t="s">
        <v>155</v>
      </c>
      <c r="E586" t="s">
        <v>32</v>
      </c>
      <c r="F586" t="s">
        <v>246</v>
      </c>
      <c r="G586">
        <v>-100000</v>
      </c>
      <c r="H586" t="s">
        <v>153</v>
      </c>
      <c r="I586" t="s">
        <v>64</v>
      </c>
    </row>
    <row r="587" spans="1:9">
      <c r="A587" s="49">
        <v>46027</v>
      </c>
      <c r="B587" s="50">
        <v>0.8261111111111111</v>
      </c>
      <c r="C587" t="s">
        <v>155</v>
      </c>
      <c r="D587" t="s">
        <v>155</v>
      </c>
      <c r="E587" t="s">
        <v>32</v>
      </c>
      <c r="F587" t="s">
        <v>479</v>
      </c>
      <c r="G587">
        <v>499000</v>
      </c>
      <c r="H587" t="s">
        <v>153</v>
      </c>
      <c r="I587" t="s">
        <v>64</v>
      </c>
    </row>
    <row r="588" spans="1:9">
      <c r="A588" s="49">
        <v>46027</v>
      </c>
      <c r="B588" s="50">
        <v>0.7519907407407408</v>
      </c>
      <c r="C588" t="s">
        <v>155</v>
      </c>
      <c r="D588" t="s">
        <v>155</v>
      </c>
      <c r="E588" t="s">
        <v>32</v>
      </c>
      <c r="F588" t="s">
        <v>480</v>
      </c>
      <c r="G588">
        <v>499000</v>
      </c>
      <c r="H588" t="s">
        <v>153</v>
      </c>
      <c r="I588" t="s">
        <v>64</v>
      </c>
    </row>
    <row r="589" spans="1:9">
      <c r="A589" s="49">
        <v>46027</v>
      </c>
      <c r="B589" s="50">
        <v>0.5547569444444445</v>
      </c>
      <c r="C589" t="s">
        <v>155</v>
      </c>
      <c r="D589" t="s">
        <v>155</v>
      </c>
      <c r="E589" t="s">
        <v>32</v>
      </c>
      <c r="F589" t="s">
        <v>481</v>
      </c>
      <c r="G589">
        <v>499000</v>
      </c>
      <c r="H589" t="s">
        <v>153</v>
      </c>
      <c r="I589" t="s">
        <v>64</v>
      </c>
    </row>
    <row r="590" spans="1:9">
      <c r="A590" s="49">
        <v>46027</v>
      </c>
      <c r="B590" s="50">
        <v>0.3946875</v>
      </c>
      <c r="C590" t="s">
        <v>150</v>
      </c>
      <c r="D590" t="s">
        <v>44</v>
      </c>
      <c r="E590" t="s">
        <v>162</v>
      </c>
      <c r="F590" t="s">
        <v>163</v>
      </c>
      <c r="G590">
        <v>-1900</v>
      </c>
      <c r="H590" t="s">
        <v>153</v>
      </c>
      <c r="I590" t="s">
        <v>164</v>
      </c>
    </row>
    <row r="591" spans="1:9">
      <c r="A591" s="49">
        <v>46027</v>
      </c>
      <c r="B591" s="50">
        <v>0.2578125</v>
      </c>
      <c r="C591" t="s">
        <v>150</v>
      </c>
      <c r="D591" t="s">
        <v>35</v>
      </c>
      <c r="E591" t="s">
        <v>482</v>
      </c>
      <c r="F591" t="s">
        <v>483</v>
      </c>
      <c r="G591">
        <v>-3500</v>
      </c>
      <c r="H591" t="s">
        <v>153</v>
      </c>
      <c r="I591" t="s">
        <v>214</v>
      </c>
    </row>
    <row r="592" spans="1:9">
      <c r="A592" s="49">
        <v>46027</v>
      </c>
      <c r="B592" s="50">
        <v>0.2578125</v>
      </c>
      <c r="C592" t="s">
        <v>150</v>
      </c>
      <c r="D592" t="s">
        <v>35</v>
      </c>
      <c r="E592" t="s">
        <v>169</v>
      </c>
      <c r="F592" t="s">
        <v>484</v>
      </c>
      <c r="G592">
        <v>-18000</v>
      </c>
      <c r="H592" t="s">
        <v>153</v>
      </c>
      <c r="I592" t="s">
        <v>214</v>
      </c>
    </row>
    <row r="593" spans="1:9">
      <c r="A593" s="49">
        <v>46026</v>
      </c>
      <c r="B593" s="50">
        <v>0.9680671296296296</v>
      </c>
      <c r="C593" t="s">
        <v>150</v>
      </c>
      <c r="D593" t="s">
        <v>40</v>
      </c>
      <c r="E593" t="s">
        <v>172</v>
      </c>
      <c r="F593" t="s">
        <v>485</v>
      </c>
      <c r="G593">
        <v>-7600</v>
      </c>
      <c r="H593" t="s">
        <v>153</v>
      </c>
      <c r="I593" t="s">
        <v>214</v>
      </c>
    </row>
    <row r="594" spans="1:9">
      <c r="A594" s="49">
        <v>46026</v>
      </c>
      <c r="B594" s="50">
        <v>0.8870949074074074</v>
      </c>
      <c r="C594" t="s">
        <v>150</v>
      </c>
      <c r="D594" t="s">
        <v>36</v>
      </c>
      <c r="E594" t="s">
        <v>191</v>
      </c>
      <c r="F594" t="s">
        <v>192</v>
      </c>
      <c r="G594">
        <v>-41550</v>
      </c>
      <c r="H594" t="s">
        <v>153</v>
      </c>
      <c r="I594" t="s">
        <v>157</v>
      </c>
    </row>
    <row r="595" spans="1:9">
      <c r="A595" s="49">
        <v>46026</v>
      </c>
      <c r="B595" s="50">
        <v>0.8869560185185185</v>
      </c>
      <c r="C595" t="s">
        <v>155</v>
      </c>
      <c r="D595" t="s">
        <v>155</v>
      </c>
      <c r="E595" t="s">
        <v>32</v>
      </c>
      <c r="F595" t="s">
        <v>156</v>
      </c>
      <c r="G595">
        <v>2850</v>
      </c>
      <c r="H595" t="s">
        <v>153</v>
      </c>
      <c r="I595" t="s">
        <v>157</v>
      </c>
    </row>
    <row r="596" spans="1:9">
      <c r="A596" s="49">
        <v>46026</v>
      </c>
      <c r="B596" s="50">
        <v>0.8245254629629629</v>
      </c>
      <c r="C596" t="s">
        <v>150</v>
      </c>
      <c r="D596" t="s">
        <v>40</v>
      </c>
      <c r="E596" t="s">
        <v>172</v>
      </c>
      <c r="F596" t="s">
        <v>173</v>
      </c>
      <c r="G596">
        <v>-11850</v>
      </c>
      <c r="H596" t="s">
        <v>153</v>
      </c>
      <c r="I596" t="s">
        <v>64</v>
      </c>
    </row>
    <row r="597" spans="1:9">
      <c r="A597" s="49">
        <v>46026</v>
      </c>
      <c r="B597" s="50">
        <v>0.4418055555555556</v>
      </c>
      <c r="C597" t="s">
        <v>150</v>
      </c>
      <c r="D597" t="s">
        <v>44</v>
      </c>
      <c r="E597" t="s">
        <v>225</v>
      </c>
      <c r="F597" t="s">
        <v>372</v>
      </c>
      <c r="G597">
        <v>-7890</v>
      </c>
      <c r="H597" t="s">
        <v>153</v>
      </c>
      <c r="I597" t="s">
        <v>64</v>
      </c>
    </row>
    <row r="598" spans="1:9">
      <c r="A598" s="49">
        <v>46026</v>
      </c>
      <c r="B598" s="50">
        <v>0.3888888888888889</v>
      </c>
      <c r="C598" t="s">
        <v>150</v>
      </c>
      <c r="D598" t="s">
        <v>36</v>
      </c>
      <c r="E598" t="s">
        <v>191</v>
      </c>
      <c r="F598" t="s">
        <v>192</v>
      </c>
      <c r="G598">
        <v>-16620</v>
      </c>
      <c r="H598" t="s">
        <v>153</v>
      </c>
      <c r="I598" t="s">
        <v>157</v>
      </c>
    </row>
    <row r="599" spans="1:9">
      <c r="A599" s="49">
        <v>46026</v>
      </c>
      <c r="B599" s="50">
        <v>0.3833912037037037</v>
      </c>
      <c r="C599" t="s">
        <v>155</v>
      </c>
      <c r="D599" t="s">
        <v>155</v>
      </c>
      <c r="E599" t="s">
        <v>32</v>
      </c>
      <c r="F599" t="s">
        <v>179</v>
      </c>
      <c r="G599">
        <v>2850</v>
      </c>
      <c r="H599" t="s">
        <v>153</v>
      </c>
      <c r="I599" t="s">
        <v>157</v>
      </c>
    </row>
    <row r="600" spans="1:9">
      <c r="A600" s="49">
        <v>46026</v>
      </c>
      <c r="B600" s="50">
        <v>0.3702083333333333</v>
      </c>
      <c r="C600" t="s">
        <v>155</v>
      </c>
      <c r="D600" t="s">
        <v>155</v>
      </c>
      <c r="E600" t="s">
        <v>32</v>
      </c>
      <c r="F600" t="s">
        <v>206</v>
      </c>
      <c r="G600">
        <v>2850</v>
      </c>
      <c r="H600" t="s">
        <v>153</v>
      </c>
      <c r="I600" t="s">
        <v>157</v>
      </c>
    </row>
    <row r="601" spans="1:9">
      <c r="A601" s="49">
        <v>46026</v>
      </c>
      <c r="B601" s="50">
        <v>0.2521296296296296</v>
      </c>
      <c r="C601" t="s">
        <v>150</v>
      </c>
      <c r="D601" t="s">
        <v>35</v>
      </c>
      <c r="E601" t="s">
        <v>169</v>
      </c>
      <c r="F601" t="s">
        <v>187</v>
      </c>
      <c r="G601">
        <v>-911</v>
      </c>
      <c r="H601" t="s">
        <v>153</v>
      </c>
      <c r="I601" t="s">
        <v>171</v>
      </c>
    </row>
    <row r="602" spans="1:9">
      <c r="A602" s="49">
        <v>46026</v>
      </c>
      <c r="B602" s="50">
        <v>0.2430555555555556</v>
      </c>
      <c r="C602" t="s">
        <v>150</v>
      </c>
      <c r="D602" t="s">
        <v>36</v>
      </c>
      <c r="E602" t="s">
        <v>191</v>
      </c>
      <c r="F602" t="s">
        <v>192</v>
      </c>
      <c r="G602">
        <v>-1462</v>
      </c>
      <c r="H602" t="s">
        <v>153</v>
      </c>
      <c r="I602" t="s">
        <v>157</v>
      </c>
    </row>
    <row r="603" spans="1:9">
      <c r="A603" s="49">
        <v>46026</v>
      </c>
      <c r="B603" s="50">
        <v>0.2417824074074074</v>
      </c>
      <c r="C603" t="s">
        <v>150</v>
      </c>
      <c r="D603" t="s">
        <v>40</v>
      </c>
      <c r="E603" t="s">
        <v>380</v>
      </c>
      <c r="F603" t="s">
        <v>381</v>
      </c>
      <c r="G603">
        <v>-11400</v>
      </c>
      <c r="H603" t="s">
        <v>153</v>
      </c>
      <c r="I603" t="s">
        <v>164</v>
      </c>
    </row>
    <row r="604" spans="1:9">
      <c r="A604" s="49">
        <v>46025</v>
      </c>
      <c r="B604" s="50">
        <v>0.8289583333333334</v>
      </c>
      <c r="C604" t="s">
        <v>150</v>
      </c>
      <c r="D604" t="s">
        <v>40</v>
      </c>
      <c r="E604" t="s">
        <v>380</v>
      </c>
      <c r="F604" t="s">
        <v>381</v>
      </c>
      <c r="G604">
        <v>-4400</v>
      </c>
      <c r="H604" t="s">
        <v>153</v>
      </c>
      <c r="I604" t="s">
        <v>164</v>
      </c>
    </row>
    <row r="605" spans="1:9">
      <c r="A605" s="49">
        <v>46025</v>
      </c>
      <c r="B605" s="50">
        <v>0.8101851851851852</v>
      </c>
      <c r="C605" t="s">
        <v>150</v>
      </c>
      <c r="D605" t="s">
        <v>48</v>
      </c>
      <c r="E605" t="s">
        <v>185</v>
      </c>
      <c r="F605" t="s">
        <v>199</v>
      </c>
      <c r="G605">
        <v>-1560</v>
      </c>
      <c r="H605" t="s">
        <v>153</v>
      </c>
      <c r="I605" t="s">
        <v>164</v>
      </c>
    </row>
    <row r="606" spans="1:9">
      <c r="A606" s="49">
        <v>46025</v>
      </c>
      <c r="B606" s="50">
        <v>0.6247569444444444</v>
      </c>
      <c r="C606" t="s">
        <v>150</v>
      </c>
      <c r="D606" t="s">
        <v>37</v>
      </c>
      <c r="E606" t="s">
        <v>486</v>
      </c>
      <c r="F606" t="s">
        <v>487</v>
      </c>
      <c r="G606">
        <v>-10000</v>
      </c>
      <c r="H606" t="s">
        <v>153</v>
      </c>
      <c r="I606" t="s">
        <v>164</v>
      </c>
    </row>
    <row r="607" spans="1:9">
      <c r="A607" s="49">
        <v>46025</v>
      </c>
      <c r="B607" s="50">
        <v>0.6131134259259259</v>
      </c>
      <c r="C607" t="s">
        <v>155</v>
      </c>
      <c r="D607" t="s">
        <v>155</v>
      </c>
      <c r="E607" t="s">
        <v>32</v>
      </c>
      <c r="F607" t="s">
        <v>156</v>
      </c>
      <c r="G607">
        <v>36300</v>
      </c>
      <c r="H607" t="s">
        <v>153</v>
      </c>
      <c r="I607" t="s">
        <v>157</v>
      </c>
    </row>
    <row r="608" spans="1:9">
      <c r="A608" s="49">
        <v>46025</v>
      </c>
      <c r="B608" s="50">
        <v>0.6125347222222223</v>
      </c>
      <c r="C608" t="s">
        <v>150</v>
      </c>
      <c r="D608" t="s">
        <v>36</v>
      </c>
      <c r="E608" t="s">
        <v>191</v>
      </c>
      <c r="F608" t="s">
        <v>192</v>
      </c>
      <c r="G608">
        <v>-13625</v>
      </c>
      <c r="H608" t="s">
        <v>153</v>
      </c>
      <c r="I608" t="s">
        <v>157</v>
      </c>
    </row>
    <row r="609" spans="1:9">
      <c r="A609" s="49">
        <v>46025</v>
      </c>
      <c r="B609" s="50">
        <v>0.495474537037037</v>
      </c>
      <c r="C609" t="s">
        <v>155</v>
      </c>
      <c r="D609" t="s">
        <v>155</v>
      </c>
      <c r="E609" t="s">
        <v>32</v>
      </c>
      <c r="F609" t="s">
        <v>198</v>
      </c>
      <c r="G609">
        <v>36300</v>
      </c>
      <c r="H609" t="s">
        <v>153</v>
      </c>
      <c r="I609" t="s">
        <v>157</v>
      </c>
    </row>
    <row r="610" spans="1:9">
      <c r="A610" s="49">
        <v>46025</v>
      </c>
      <c r="B610" s="50">
        <v>0.4953472222222222</v>
      </c>
      <c r="C610" t="s">
        <v>155</v>
      </c>
      <c r="D610" t="s">
        <v>155</v>
      </c>
      <c r="E610" t="s">
        <v>32</v>
      </c>
      <c r="F610" t="s">
        <v>205</v>
      </c>
      <c r="G610">
        <v>36300</v>
      </c>
      <c r="H610" t="s">
        <v>153</v>
      </c>
      <c r="I610" t="s">
        <v>157</v>
      </c>
    </row>
    <row r="611" spans="1:9">
      <c r="A611" s="49">
        <v>46024</v>
      </c>
      <c r="B611" s="50">
        <v>0.4816898148148148</v>
      </c>
      <c r="C611" t="s">
        <v>150</v>
      </c>
      <c r="D611" t="s">
        <v>35</v>
      </c>
      <c r="E611" t="s">
        <v>169</v>
      </c>
      <c r="F611" t="s">
        <v>170</v>
      </c>
      <c r="G611">
        <v>-4900</v>
      </c>
      <c r="H611" t="s">
        <v>153</v>
      </c>
      <c r="I611" t="s">
        <v>171</v>
      </c>
    </row>
    <row r="612" spans="1:9">
      <c r="A612" s="49">
        <v>46024</v>
      </c>
      <c r="B612" s="50">
        <v>0.4402083333333333</v>
      </c>
      <c r="C612" t="s">
        <v>150</v>
      </c>
      <c r="D612" t="s">
        <v>36</v>
      </c>
      <c r="E612" t="s">
        <v>191</v>
      </c>
      <c r="F612" t="s">
        <v>192</v>
      </c>
      <c r="G612">
        <v>-1700</v>
      </c>
      <c r="H612" t="s">
        <v>153</v>
      </c>
      <c r="I612" t="s">
        <v>157</v>
      </c>
    </row>
    <row r="613" spans="1:9">
      <c r="A613" s="49">
        <v>46024</v>
      </c>
      <c r="B613" s="50">
        <v>0.4038657407407407</v>
      </c>
      <c r="C613" t="s">
        <v>155</v>
      </c>
      <c r="D613" t="s">
        <v>155</v>
      </c>
      <c r="E613" t="s">
        <v>32</v>
      </c>
      <c r="F613" t="s">
        <v>488</v>
      </c>
      <c r="G613">
        <v>399200</v>
      </c>
      <c r="H613" t="s">
        <v>153</v>
      </c>
      <c r="I613" t="s">
        <v>64</v>
      </c>
    </row>
    <row r="614" spans="1:9">
      <c r="A614" s="49">
        <v>46023</v>
      </c>
      <c r="B614" s="50">
        <v>0.9782407407407407</v>
      </c>
      <c r="C614" t="s">
        <v>150</v>
      </c>
      <c r="D614" t="s">
        <v>40</v>
      </c>
      <c r="E614" t="s">
        <v>172</v>
      </c>
      <c r="F614" t="s">
        <v>379</v>
      </c>
      <c r="G614">
        <v>-9500</v>
      </c>
      <c r="H614" t="s">
        <v>153</v>
      </c>
      <c r="I614" t="s">
        <v>214</v>
      </c>
    </row>
    <row r="615" spans="1:9">
      <c r="A615" s="49">
        <v>46023</v>
      </c>
      <c r="B615" s="50">
        <v>0.9256134259259259</v>
      </c>
      <c r="C615" t="s">
        <v>155</v>
      </c>
      <c r="D615" t="s">
        <v>155</v>
      </c>
      <c r="E615" t="s">
        <v>32</v>
      </c>
      <c r="F615" t="s">
        <v>489</v>
      </c>
      <c r="G615">
        <v>499000</v>
      </c>
      <c r="H615" t="s">
        <v>153</v>
      </c>
      <c r="I615" t="s">
        <v>64</v>
      </c>
    </row>
    <row r="616" spans="1:9">
      <c r="A616" s="49">
        <v>46023</v>
      </c>
      <c r="B616" s="50">
        <v>0.8495833333333334</v>
      </c>
      <c r="C616" t="s">
        <v>155</v>
      </c>
      <c r="D616" t="s">
        <v>155</v>
      </c>
      <c r="E616" t="s">
        <v>32</v>
      </c>
      <c r="F616" t="s">
        <v>367</v>
      </c>
      <c r="G616">
        <v>499000</v>
      </c>
      <c r="H616" t="s">
        <v>153</v>
      </c>
      <c r="I616" t="s">
        <v>64</v>
      </c>
    </row>
    <row r="617" spans="1:9">
      <c r="A617" s="49">
        <v>46023</v>
      </c>
      <c r="B617" s="50">
        <v>0.8195370370370371</v>
      </c>
      <c r="C617" t="s">
        <v>155</v>
      </c>
      <c r="D617" t="s">
        <v>155</v>
      </c>
      <c r="E617" t="s">
        <v>32</v>
      </c>
      <c r="F617" t="s">
        <v>490</v>
      </c>
      <c r="G617">
        <v>499000</v>
      </c>
      <c r="H617" t="s">
        <v>153</v>
      </c>
      <c r="I617" t="s">
        <v>64</v>
      </c>
    </row>
    <row r="618" spans="1:9">
      <c r="A618" s="49">
        <v>46023</v>
      </c>
      <c r="B618" s="50">
        <v>0.1188541666666667</v>
      </c>
      <c r="C618" t="s">
        <v>167</v>
      </c>
      <c r="D618" t="s">
        <v>28</v>
      </c>
      <c r="E618" t="s">
        <v>32</v>
      </c>
      <c r="F618" t="s">
        <v>274</v>
      </c>
      <c r="G618">
        <v>0</v>
      </c>
      <c r="H618" t="s">
        <v>153</v>
      </c>
      <c r="I618" t="s">
        <v>61</v>
      </c>
    </row>
    <row r="619" spans="1:9">
      <c r="A619" s="49">
        <v>46022</v>
      </c>
      <c r="B619" s="50">
        <v>0.9374421296296296</v>
      </c>
      <c r="C619" t="s">
        <v>150</v>
      </c>
      <c r="D619" t="s">
        <v>49</v>
      </c>
      <c r="E619" t="s">
        <v>491</v>
      </c>
      <c r="F619" t="s">
        <v>492</v>
      </c>
      <c r="G619">
        <v>-80000</v>
      </c>
      <c r="H619" t="s">
        <v>153</v>
      </c>
      <c r="I619" t="s">
        <v>214</v>
      </c>
    </row>
    <row r="620" spans="1:9">
      <c r="A620" s="49">
        <v>46022</v>
      </c>
      <c r="B620" s="50">
        <v>0.8650578703703704</v>
      </c>
      <c r="C620" t="s">
        <v>155</v>
      </c>
      <c r="D620" t="s">
        <v>158</v>
      </c>
      <c r="E620" t="s">
        <v>32</v>
      </c>
      <c r="F620" t="s">
        <v>450</v>
      </c>
      <c r="G620">
        <v>-500000</v>
      </c>
      <c r="H620" t="s">
        <v>153</v>
      </c>
      <c r="I620" t="s">
        <v>64</v>
      </c>
    </row>
    <row r="621" spans="1:9">
      <c r="A621" s="49">
        <v>46022</v>
      </c>
      <c r="B621" s="50">
        <v>0.8467476851851852</v>
      </c>
      <c r="C621" t="s">
        <v>150</v>
      </c>
      <c r="D621" t="s">
        <v>42</v>
      </c>
      <c r="E621" t="s">
        <v>212</v>
      </c>
      <c r="F621" t="s">
        <v>493</v>
      </c>
      <c r="G621">
        <v>-52000</v>
      </c>
      <c r="H621" t="s">
        <v>153</v>
      </c>
      <c r="I621" t="s">
        <v>214</v>
      </c>
    </row>
    <row r="622" spans="1:9">
      <c r="A622" s="49">
        <v>46022</v>
      </c>
      <c r="B622" s="50">
        <v>0.7611805555555555</v>
      </c>
      <c r="C622" t="s">
        <v>150</v>
      </c>
      <c r="D622" t="s">
        <v>35</v>
      </c>
      <c r="E622" t="s">
        <v>174</v>
      </c>
      <c r="F622" t="s">
        <v>314</v>
      </c>
      <c r="G622">
        <v>-10000</v>
      </c>
      <c r="H622" t="s">
        <v>153</v>
      </c>
      <c r="I622" t="s">
        <v>64</v>
      </c>
    </row>
    <row r="623" spans="1:9">
      <c r="A623" s="49">
        <v>46022</v>
      </c>
      <c r="B623" s="50">
        <v>0.7309027777777778</v>
      </c>
      <c r="C623" t="s">
        <v>150</v>
      </c>
      <c r="D623" t="s">
        <v>48</v>
      </c>
      <c r="E623" t="s">
        <v>185</v>
      </c>
      <c r="F623" t="s">
        <v>199</v>
      </c>
      <c r="G623">
        <v>-1920</v>
      </c>
      <c r="H623" t="s">
        <v>153</v>
      </c>
      <c r="I623" t="s">
        <v>164</v>
      </c>
    </row>
    <row r="624" spans="1:9">
      <c r="A624" s="49">
        <v>46022</v>
      </c>
      <c r="B624" s="50">
        <v>0.6323148148148148</v>
      </c>
      <c r="C624" t="s">
        <v>155</v>
      </c>
      <c r="D624" t="s">
        <v>155</v>
      </c>
      <c r="E624" t="s">
        <v>32</v>
      </c>
      <c r="F624" t="s">
        <v>183</v>
      </c>
      <c r="G624">
        <v>36300</v>
      </c>
      <c r="H624" t="s">
        <v>153</v>
      </c>
      <c r="I624" t="s">
        <v>157</v>
      </c>
    </row>
    <row r="625" spans="1:9">
      <c r="A625" s="49">
        <v>46022</v>
      </c>
      <c r="B625" s="50">
        <v>0.6079629629629629</v>
      </c>
      <c r="C625" t="s">
        <v>155</v>
      </c>
      <c r="D625" t="s">
        <v>155</v>
      </c>
      <c r="E625" t="s">
        <v>32</v>
      </c>
      <c r="F625" t="s">
        <v>206</v>
      </c>
      <c r="G625">
        <v>36300</v>
      </c>
      <c r="H625" t="s">
        <v>153</v>
      </c>
      <c r="I625" t="s">
        <v>157</v>
      </c>
    </row>
    <row r="626" spans="1:9">
      <c r="A626" s="49">
        <v>46022</v>
      </c>
      <c r="B626" s="50">
        <v>0.6074074074074074</v>
      </c>
      <c r="C626" t="s">
        <v>155</v>
      </c>
      <c r="D626" t="s">
        <v>155</v>
      </c>
      <c r="E626" t="s">
        <v>32</v>
      </c>
      <c r="F626" t="s">
        <v>204</v>
      </c>
      <c r="G626">
        <v>36300</v>
      </c>
      <c r="H626" t="s">
        <v>153</v>
      </c>
      <c r="I626" t="s">
        <v>157</v>
      </c>
    </row>
    <row r="627" spans="1:9">
      <c r="A627" s="49">
        <v>46022</v>
      </c>
      <c r="B627" s="50">
        <v>0.4888541666666666</v>
      </c>
      <c r="C627" t="s">
        <v>155</v>
      </c>
      <c r="D627" t="s">
        <v>155</v>
      </c>
      <c r="E627" t="s">
        <v>32</v>
      </c>
      <c r="F627" t="s">
        <v>184</v>
      </c>
      <c r="G627">
        <v>36300</v>
      </c>
      <c r="H627" t="s">
        <v>153</v>
      </c>
      <c r="I627" t="s">
        <v>157</v>
      </c>
    </row>
    <row r="628" spans="1:9">
      <c r="A628" s="49">
        <v>46022</v>
      </c>
      <c r="B628" s="50">
        <v>0.4476273148148148</v>
      </c>
      <c r="C628" t="s">
        <v>155</v>
      </c>
      <c r="D628" t="s">
        <v>155</v>
      </c>
      <c r="E628" t="s">
        <v>32</v>
      </c>
      <c r="F628" t="s">
        <v>179</v>
      </c>
      <c r="G628">
        <v>36300</v>
      </c>
      <c r="H628" t="s">
        <v>153</v>
      </c>
      <c r="I628" t="s">
        <v>157</v>
      </c>
    </row>
    <row r="629" spans="1:9">
      <c r="A629" s="49">
        <v>46022</v>
      </c>
      <c r="B629" s="50">
        <v>0.1482986111111111</v>
      </c>
      <c r="C629" t="s">
        <v>155</v>
      </c>
      <c r="D629" t="s">
        <v>155</v>
      </c>
      <c r="E629" t="s">
        <v>32</v>
      </c>
      <c r="F629" t="s">
        <v>200</v>
      </c>
      <c r="G629">
        <v>36300</v>
      </c>
      <c r="H629" t="s">
        <v>153</v>
      </c>
      <c r="I629" t="s">
        <v>157</v>
      </c>
    </row>
    <row r="630" spans="1:9">
      <c r="A630" s="49">
        <v>46022</v>
      </c>
      <c r="B630" s="50">
        <v>0.1420486111111111</v>
      </c>
      <c r="C630" t="s">
        <v>155</v>
      </c>
      <c r="D630" t="s">
        <v>155</v>
      </c>
      <c r="E630" t="s">
        <v>32</v>
      </c>
      <c r="F630" t="s">
        <v>206</v>
      </c>
      <c r="G630">
        <v>5050</v>
      </c>
      <c r="H630" t="s">
        <v>153</v>
      </c>
      <c r="I630" t="s">
        <v>157</v>
      </c>
    </row>
    <row r="631" spans="1:9">
      <c r="A631" s="49">
        <v>46022</v>
      </c>
      <c r="B631" s="50">
        <v>0.1309837962962963</v>
      </c>
      <c r="C631" t="s">
        <v>150</v>
      </c>
      <c r="D631" t="s">
        <v>35</v>
      </c>
      <c r="E631" t="s">
        <v>174</v>
      </c>
      <c r="F631" t="s">
        <v>494</v>
      </c>
      <c r="G631">
        <v>-10100</v>
      </c>
      <c r="H631" t="s">
        <v>153</v>
      </c>
      <c r="I631" t="s">
        <v>214</v>
      </c>
    </row>
    <row r="632" spans="1:9">
      <c r="A632" s="49">
        <v>46022</v>
      </c>
      <c r="B632" s="50">
        <v>0.06224537037037037</v>
      </c>
      <c r="C632" t="s">
        <v>150</v>
      </c>
      <c r="D632" t="s">
        <v>42</v>
      </c>
      <c r="E632" t="s">
        <v>495</v>
      </c>
      <c r="F632" t="s">
        <v>496</v>
      </c>
      <c r="G632">
        <v>-363000</v>
      </c>
      <c r="H632" t="s">
        <v>153</v>
      </c>
      <c r="I632" t="s">
        <v>214</v>
      </c>
    </row>
    <row r="633" spans="1:9">
      <c r="A633" s="49">
        <v>46021</v>
      </c>
      <c r="B633" s="50">
        <v>0.8872222222222222</v>
      </c>
      <c r="C633" t="s">
        <v>150</v>
      </c>
      <c r="D633" t="s">
        <v>40</v>
      </c>
      <c r="E633" t="s">
        <v>172</v>
      </c>
      <c r="F633" t="s">
        <v>497</v>
      </c>
      <c r="G633">
        <v>-3600</v>
      </c>
      <c r="H633" t="s">
        <v>153</v>
      </c>
      <c r="I633" t="s">
        <v>214</v>
      </c>
    </row>
    <row r="634" spans="1:9">
      <c r="A634" s="49">
        <v>46021</v>
      </c>
      <c r="B634" s="50">
        <v>0.7631250000000001</v>
      </c>
      <c r="C634" t="s">
        <v>150</v>
      </c>
      <c r="D634" t="s">
        <v>35</v>
      </c>
      <c r="E634" t="s">
        <v>174</v>
      </c>
      <c r="F634" t="s">
        <v>314</v>
      </c>
      <c r="G634">
        <v>-10000</v>
      </c>
      <c r="H634" t="s">
        <v>153</v>
      </c>
      <c r="I634" t="s">
        <v>64</v>
      </c>
    </row>
    <row r="635" spans="1:9">
      <c r="A635" s="49">
        <v>46021</v>
      </c>
      <c r="B635" s="50">
        <v>0.5461921296296296</v>
      </c>
      <c r="C635" t="s">
        <v>155</v>
      </c>
      <c r="D635" t="s">
        <v>155</v>
      </c>
      <c r="E635" t="s">
        <v>32</v>
      </c>
      <c r="F635" t="s">
        <v>498</v>
      </c>
      <c r="G635">
        <v>499000</v>
      </c>
      <c r="H635" t="s">
        <v>153</v>
      </c>
      <c r="I635" t="s">
        <v>64</v>
      </c>
    </row>
    <row r="636" spans="1:9">
      <c r="A636" s="49">
        <v>46021</v>
      </c>
      <c r="B636" s="50">
        <v>0.3531481481481482</v>
      </c>
      <c r="C636" t="s">
        <v>155</v>
      </c>
      <c r="D636" t="s">
        <v>155</v>
      </c>
      <c r="E636" t="s">
        <v>32</v>
      </c>
      <c r="F636" t="s">
        <v>499</v>
      </c>
      <c r="G636">
        <v>499000</v>
      </c>
      <c r="H636" t="s">
        <v>153</v>
      </c>
      <c r="I636" t="s">
        <v>64</v>
      </c>
    </row>
    <row r="637" spans="1:9">
      <c r="A637" s="49">
        <v>46021</v>
      </c>
      <c r="B637" s="50">
        <v>0.3520949074074074</v>
      </c>
      <c r="C637" t="s">
        <v>155</v>
      </c>
      <c r="D637" t="s">
        <v>155</v>
      </c>
      <c r="E637" t="s">
        <v>32</v>
      </c>
      <c r="F637" t="s">
        <v>500</v>
      </c>
      <c r="G637">
        <v>499000</v>
      </c>
      <c r="H637" t="s">
        <v>153</v>
      </c>
      <c r="I637" t="s">
        <v>64</v>
      </c>
    </row>
    <row r="638" spans="1:9">
      <c r="A638" s="49">
        <v>46020</v>
      </c>
      <c r="B638" s="50">
        <v>0.8401273148148148</v>
      </c>
      <c r="C638" t="s">
        <v>150</v>
      </c>
      <c r="D638" t="s">
        <v>40</v>
      </c>
      <c r="E638" t="s">
        <v>380</v>
      </c>
      <c r="F638" t="s">
        <v>381</v>
      </c>
      <c r="G638">
        <v>-1300</v>
      </c>
      <c r="H638" t="s">
        <v>153</v>
      </c>
      <c r="I638" t="s">
        <v>164</v>
      </c>
    </row>
    <row r="639" spans="1:9">
      <c r="A639" s="49">
        <v>46020</v>
      </c>
      <c r="B639" s="50">
        <v>0.8401273148148148</v>
      </c>
      <c r="C639" t="s">
        <v>155</v>
      </c>
      <c r="D639" t="s">
        <v>158</v>
      </c>
      <c r="E639" t="s">
        <v>32</v>
      </c>
      <c r="F639" t="s">
        <v>159</v>
      </c>
      <c r="G639">
        <v>10000</v>
      </c>
      <c r="H639" t="s">
        <v>153</v>
      </c>
      <c r="I639" t="s">
        <v>157</v>
      </c>
    </row>
    <row r="640" spans="1:9">
      <c r="A640" s="49">
        <v>46020</v>
      </c>
      <c r="B640" s="50">
        <v>0.8401273148148148</v>
      </c>
      <c r="C640" t="s">
        <v>155</v>
      </c>
      <c r="D640" t="s">
        <v>158</v>
      </c>
      <c r="E640" t="s">
        <v>32</v>
      </c>
      <c r="F640" t="s">
        <v>160</v>
      </c>
      <c r="G640">
        <v>-10000</v>
      </c>
      <c r="H640" t="s">
        <v>153</v>
      </c>
      <c r="I640" t="s">
        <v>64</v>
      </c>
    </row>
    <row r="641" spans="1:9">
      <c r="A641" s="49">
        <v>46020</v>
      </c>
      <c r="B641" s="50">
        <v>0.8161226851851852</v>
      </c>
      <c r="C641" t="s">
        <v>155</v>
      </c>
      <c r="D641" t="s">
        <v>155</v>
      </c>
      <c r="E641" t="s">
        <v>32</v>
      </c>
      <c r="F641" t="s">
        <v>246</v>
      </c>
      <c r="G641">
        <v>-100000</v>
      </c>
      <c r="H641" t="s">
        <v>153</v>
      </c>
      <c r="I641" t="s">
        <v>64</v>
      </c>
    </row>
    <row r="642" spans="1:9">
      <c r="A642" s="49">
        <v>46020</v>
      </c>
      <c r="B642" s="50">
        <v>0.6893981481481481</v>
      </c>
      <c r="C642" t="s">
        <v>150</v>
      </c>
      <c r="D642" t="s">
        <v>45</v>
      </c>
      <c r="E642" t="s">
        <v>468</v>
      </c>
      <c r="F642" t="s">
        <v>501</v>
      </c>
      <c r="G642">
        <v>-198000</v>
      </c>
      <c r="H642" t="s">
        <v>153</v>
      </c>
      <c r="I642" t="s">
        <v>214</v>
      </c>
    </row>
    <row r="643" spans="1:9">
      <c r="A643" s="49">
        <v>46020</v>
      </c>
      <c r="B643" s="50">
        <v>0.6672685185185185</v>
      </c>
      <c r="C643" t="s">
        <v>155</v>
      </c>
      <c r="D643" t="s">
        <v>155</v>
      </c>
      <c r="E643" t="s">
        <v>32</v>
      </c>
      <c r="F643" t="s">
        <v>502</v>
      </c>
      <c r="G643">
        <v>499000</v>
      </c>
      <c r="H643" t="s">
        <v>153</v>
      </c>
      <c r="I643" t="s">
        <v>64</v>
      </c>
    </row>
    <row r="644" spans="1:9">
      <c r="A644" s="49">
        <v>46020</v>
      </c>
      <c r="B644" s="50">
        <v>0.6318981481481482</v>
      </c>
      <c r="C644" t="s">
        <v>150</v>
      </c>
      <c r="D644" t="s">
        <v>45</v>
      </c>
      <c r="E644" t="s">
        <v>503</v>
      </c>
      <c r="F644" t="s">
        <v>504</v>
      </c>
      <c r="G644">
        <v>-55000</v>
      </c>
      <c r="H644" t="s">
        <v>153</v>
      </c>
      <c r="I644" t="s">
        <v>214</v>
      </c>
    </row>
    <row r="645" spans="1:9">
      <c r="A645" s="49">
        <v>46020</v>
      </c>
      <c r="B645" s="50">
        <v>0.5655555555555556</v>
      </c>
      <c r="C645" t="s">
        <v>150</v>
      </c>
      <c r="D645" t="s">
        <v>44</v>
      </c>
      <c r="E645" t="s">
        <v>225</v>
      </c>
      <c r="F645" t="s">
        <v>395</v>
      </c>
      <c r="G645">
        <v>-14900</v>
      </c>
      <c r="H645" t="s">
        <v>153</v>
      </c>
      <c r="I645" t="s">
        <v>171</v>
      </c>
    </row>
    <row r="646" spans="1:9">
      <c r="A646" s="49">
        <v>46020</v>
      </c>
      <c r="B646" s="50">
        <v>0.3853125</v>
      </c>
      <c r="C646" t="s">
        <v>155</v>
      </c>
      <c r="D646" t="s">
        <v>155</v>
      </c>
      <c r="E646" t="s">
        <v>32</v>
      </c>
      <c r="F646" t="s">
        <v>505</v>
      </c>
      <c r="G646">
        <v>499000</v>
      </c>
      <c r="H646" t="s">
        <v>153</v>
      </c>
      <c r="I646" t="s">
        <v>64</v>
      </c>
    </row>
    <row r="647" spans="1:9">
      <c r="A647" s="49">
        <v>46020</v>
      </c>
      <c r="B647" s="50">
        <v>0.3702430555555555</v>
      </c>
      <c r="C647" t="s">
        <v>155</v>
      </c>
      <c r="D647" t="s">
        <v>158</v>
      </c>
      <c r="E647" t="s">
        <v>32</v>
      </c>
      <c r="F647" t="s">
        <v>160</v>
      </c>
      <c r="G647">
        <v>-10000</v>
      </c>
      <c r="H647" t="s">
        <v>153</v>
      </c>
      <c r="I647" t="s">
        <v>64</v>
      </c>
    </row>
    <row r="648" spans="1:9">
      <c r="A648" s="49">
        <v>46020</v>
      </c>
      <c r="B648" s="50">
        <v>0.3702314814814815</v>
      </c>
      <c r="C648" t="s">
        <v>150</v>
      </c>
      <c r="D648" t="s">
        <v>44</v>
      </c>
      <c r="E648" t="s">
        <v>315</v>
      </c>
      <c r="F648" t="s">
        <v>316</v>
      </c>
      <c r="G648">
        <v>-14000</v>
      </c>
      <c r="H648" t="s">
        <v>153</v>
      </c>
      <c r="I648" t="s">
        <v>164</v>
      </c>
    </row>
    <row r="649" spans="1:9">
      <c r="A649" s="49">
        <v>46020</v>
      </c>
      <c r="B649" s="50">
        <v>0.3702314814814815</v>
      </c>
      <c r="C649" t="s">
        <v>155</v>
      </c>
      <c r="D649" t="s">
        <v>158</v>
      </c>
      <c r="E649" t="s">
        <v>32</v>
      </c>
      <c r="F649" t="s">
        <v>159</v>
      </c>
      <c r="G649">
        <v>10000</v>
      </c>
      <c r="H649" t="s">
        <v>153</v>
      </c>
      <c r="I649" t="s">
        <v>157</v>
      </c>
    </row>
    <row r="650" spans="1:9">
      <c r="A650" s="49">
        <v>46020</v>
      </c>
      <c r="B650" s="50">
        <v>0.2677662037037037</v>
      </c>
      <c r="C650" t="s">
        <v>155</v>
      </c>
      <c r="D650" t="s">
        <v>241</v>
      </c>
      <c r="E650" t="s">
        <v>32</v>
      </c>
      <c r="F650" t="s">
        <v>506</v>
      </c>
      <c r="G650">
        <v>9000</v>
      </c>
      <c r="H650" t="s">
        <v>153</v>
      </c>
      <c r="I650" t="s">
        <v>64</v>
      </c>
    </row>
    <row r="651" spans="1:9">
      <c r="A651" s="49">
        <v>46020</v>
      </c>
      <c r="B651" s="50">
        <v>0.2676851851851852</v>
      </c>
      <c r="C651" t="s">
        <v>155</v>
      </c>
      <c r="D651" t="s">
        <v>241</v>
      </c>
      <c r="E651" t="s">
        <v>32</v>
      </c>
      <c r="F651" t="s">
        <v>506</v>
      </c>
      <c r="G651">
        <v>18000</v>
      </c>
      <c r="H651" t="s">
        <v>153</v>
      </c>
      <c r="I651" t="s">
        <v>64</v>
      </c>
    </row>
    <row r="652" spans="1:9">
      <c r="A652" s="49">
        <v>46020</v>
      </c>
      <c r="B652" s="50">
        <v>0.2675694444444445</v>
      </c>
      <c r="C652" t="s">
        <v>155</v>
      </c>
      <c r="D652" t="s">
        <v>241</v>
      </c>
      <c r="E652" t="s">
        <v>32</v>
      </c>
      <c r="F652" t="s">
        <v>506</v>
      </c>
      <c r="G652">
        <v>9000</v>
      </c>
      <c r="H652" t="s">
        <v>153</v>
      </c>
      <c r="I652" t="s">
        <v>64</v>
      </c>
    </row>
    <row r="653" spans="1:9">
      <c r="A653" s="49">
        <v>46020</v>
      </c>
      <c r="B653" s="50">
        <v>0.2674768518518518</v>
      </c>
      <c r="C653" t="s">
        <v>155</v>
      </c>
      <c r="D653" t="s">
        <v>241</v>
      </c>
      <c r="E653" t="s">
        <v>32</v>
      </c>
      <c r="F653" t="s">
        <v>506</v>
      </c>
      <c r="G653">
        <v>90000</v>
      </c>
      <c r="H653" t="s">
        <v>153</v>
      </c>
      <c r="I653" t="s">
        <v>64</v>
      </c>
    </row>
    <row r="654" spans="1:9">
      <c r="A654" s="49">
        <v>46019</v>
      </c>
      <c r="B654" s="50">
        <v>0.7545717592592592</v>
      </c>
      <c r="C654" t="s">
        <v>155</v>
      </c>
      <c r="D654" t="s">
        <v>155</v>
      </c>
      <c r="E654" t="s">
        <v>32</v>
      </c>
      <c r="F654" t="s">
        <v>235</v>
      </c>
      <c r="G654">
        <v>-293400</v>
      </c>
      <c r="H654" t="s">
        <v>153</v>
      </c>
      <c r="I654" t="s">
        <v>64</v>
      </c>
    </row>
    <row r="655" spans="1:9">
      <c r="A655" s="49">
        <v>46019</v>
      </c>
      <c r="B655" s="50">
        <v>0.752974537037037</v>
      </c>
      <c r="C655" t="s">
        <v>155</v>
      </c>
      <c r="D655" t="s">
        <v>155</v>
      </c>
      <c r="E655" t="s">
        <v>32</v>
      </c>
      <c r="F655" t="s">
        <v>235</v>
      </c>
      <c r="G655">
        <v>-193400</v>
      </c>
      <c r="H655" t="s">
        <v>153</v>
      </c>
      <c r="I655" t="s">
        <v>64</v>
      </c>
    </row>
    <row r="656" spans="1:9">
      <c r="A656" s="49">
        <v>46019</v>
      </c>
      <c r="B656" s="50">
        <v>0.4866666666666667</v>
      </c>
      <c r="C656" t="s">
        <v>155</v>
      </c>
      <c r="D656" t="s">
        <v>158</v>
      </c>
      <c r="E656" t="s">
        <v>32</v>
      </c>
      <c r="F656" t="s">
        <v>450</v>
      </c>
      <c r="G656">
        <v>-200000</v>
      </c>
      <c r="H656" t="s">
        <v>153</v>
      </c>
      <c r="I656" t="s">
        <v>64</v>
      </c>
    </row>
    <row r="657" spans="1:9">
      <c r="A657" s="49">
        <v>46019</v>
      </c>
      <c r="B657" s="50">
        <v>0.2883680555555556</v>
      </c>
      <c r="C657" t="s">
        <v>150</v>
      </c>
      <c r="D657" t="s">
        <v>44</v>
      </c>
      <c r="E657" t="s">
        <v>225</v>
      </c>
      <c r="F657" t="s">
        <v>507</v>
      </c>
      <c r="G657">
        <v>-486359</v>
      </c>
      <c r="H657" t="s">
        <v>153</v>
      </c>
      <c r="I657" t="s">
        <v>214</v>
      </c>
    </row>
    <row r="658" spans="1:9">
      <c r="A658" s="49">
        <v>46018</v>
      </c>
      <c r="B658" s="50">
        <v>0.8392939814814815</v>
      </c>
      <c r="C658" t="s">
        <v>155</v>
      </c>
      <c r="D658" t="s">
        <v>155</v>
      </c>
      <c r="E658" t="s">
        <v>32</v>
      </c>
      <c r="F658" t="s">
        <v>275</v>
      </c>
      <c r="G658">
        <v>390000</v>
      </c>
      <c r="H658" t="s">
        <v>153</v>
      </c>
      <c r="I658" t="s">
        <v>64</v>
      </c>
    </row>
    <row r="659" spans="1:9">
      <c r="A659" s="49">
        <v>46018</v>
      </c>
      <c r="B659" s="50">
        <v>0.4546064814814815</v>
      </c>
      <c r="C659" t="s">
        <v>150</v>
      </c>
      <c r="D659" t="s">
        <v>36</v>
      </c>
      <c r="E659" t="s">
        <v>191</v>
      </c>
      <c r="F659" t="s">
        <v>192</v>
      </c>
      <c r="G659">
        <v>-13133</v>
      </c>
      <c r="H659" t="s">
        <v>153</v>
      </c>
      <c r="I659" t="s">
        <v>157</v>
      </c>
    </row>
    <row r="660" spans="1:9">
      <c r="A660" s="49">
        <v>46018</v>
      </c>
      <c r="B660" s="50">
        <v>0.4545949074074074</v>
      </c>
      <c r="C660" t="s">
        <v>155</v>
      </c>
      <c r="D660" t="s">
        <v>158</v>
      </c>
      <c r="E660" t="s">
        <v>32</v>
      </c>
      <c r="F660" t="s">
        <v>159</v>
      </c>
      <c r="G660">
        <v>10000</v>
      </c>
      <c r="H660" t="s">
        <v>153</v>
      </c>
      <c r="I660" t="s">
        <v>157</v>
      </c>
    </row>
    <row r="661" spans="1:9">
      <c r="A661" s="49">
        <v>46018</v>
      </c>
      <c r="B661" s="50">
        <v>0.4545949074074074</v>
      </c>
      <c r="C661" t="s">
        <v>155</v>
      </c>
      <c r="D661" t="s">
        <v>158</v>
      </c>
      <c r="E661" t="s">
        <v>32</v>
      </c>
      <c r="F661" t="s">
        <v>160</v>
      </c>
      <c r="G661">
        <v>-10000</v>
      </c>
      <c r="H661" t="s">
        <v>153</v>
      </c>
      <c r="I661" t="s">
        <v>64</v>
      </c>
    </row>
    <row r="662" spans="1:9">
      <c r="A662" s="49">
        <v>46018</v>
      </c>
      <c r="B662" s="50">
        <v>0.4231944444444444</v>
      </c>
      <c r="C662" t="s">
        <v>150</v>
      </c>
      <c r="D662" t="s">
        <v>44</v>
      </c>
      <c r="E662" t="s">
        <v>315</v>
      </c>
      <c r="F662" t="s">
        <v>316</v>
      </c>
      <c r="G662">
        <v>-29000</v>
      </c>
      <c r="H662" t="s">
        <v>153</v>
      </c>
      <c r="I662" t="s">
        <v>164</v>
      </c>
    </row>
    <row r="663" spans="1:9">
      <c r="A663" s="49">
        <v>46018</v>
      </c>
      <c r="B663" s="50">
        <v>0.4231944444444444</v>
      </c>
      <c r="C663" t="s">
        <v>155</v>
      </c>
      <c r="D663" t="s">
        <v>158</v>
      </c>
      <c r="E663" t="s">
        <v>32</v>
      </c>
      <c r="F663" t="s">
        <v>159</v>
      </c>
      <c r="G663">
        <v>10000</v>
      </c>
      <c r="H663" t="s">
        <v>153</v>
      </c>
      <c r="I663" t="s">
        <v>157</v>
      </c>
    </row>
    <row r="664" spans="1:9">
      <c r="A664" s="49">
        <v>46018</v>
      </c>
      <c r="B664" s="50">
        <v>0.4231944444444444</v>
      </c>
      <c r="C664" t="s">
        <v>155</v>
      </c>
      <c r="D664" t="s">
        <v>158</v>
      </c>
      <c r="E664" t="s">
        <v>32</v>
      </c>
      <c r="F664" t="s">
        <v>160</v>
      </c>
      <c r="G664">
        <v>-10000</v>
      </c>
      <c r="H664" t="s">
        <v>153</v>
      </c>
      <c r="I664" t="s">
        <v>64</v>
      </c>
    </row>
    <row r="665" spans="1:9">
      <c r="A665" s="49">
        <v>46018</v>
      </c>
      <c r="B665" s="50">
        <v>0.4153587962962963</v>
      </c>
      <c r="C665" t="s">
        <v>155</v>
      </c>
      <c r="D665" t="s">
        <v>155</v>
      </c>
      <c r="E665" t="s">
        <v>32</v>
      </c>
      <c r="F665" t="s">
        <v>508</v>
      </c>
      <c r="G665">
        <v>499000</v>
      </c>
      <c r="H665" t="s">
        <v>153</v>
      </c>
      <c r="I665" t="s">
        <v>64</v>
      </c>
    </row>
    <row r="666" spans="1:9">
      <c r="A666" s="49">
        <v>46018</v>
      </c>
      <c r="B666" s="50">
        <v>0.213287037037037</v>
      </c>
      <c r="C666" t="s">
        <v>167</v>
      </c>
      <c r="D666" t="s">
        <v>28</v>
      </c>
      <c r="E666" t="s">
        <v>32</v>
      </c>
      <c r="F666" t="s">
        <v>278</v>
      </c>
      <c r="G666">
        <v>619</v>
      </c>
      <c r="H666" t="s">
        <v>153</v>
      </c>
      <c r="I666" t="s">
        <v>64</v>
      </c>
    </row>
    <row r="667" spans="1:9">
      <c r="A667" s="49">
        <v>46018</v>
      </c>
      <c r="B667" s="50">
        <v>0.1213310185185185</v>
      </c>
      <c r="C667" t="s">
        <v>155</v>
      </c>
      <c r="D667" t="s">
        <v>241</v>
      </c>
      <c r="E667" t="s">
        <v>32</v>
      </c>
      <c r="F667" t="s">
        <v>279</v>
      </c>
      <c r="G667">
        <v>0</v>
      </c>
      <c r="H667" t="s">
        <v>153</v>
      </c>
      <c r="I667" t="s">
        <v>62</v>
      </c>
    </row>
    <row r="668" spans="1:9">
      <c r="A668" s="49">
        <v>46017</v>
      </c>
      <c r="B668" s="50">
        <v>0.9117592592592593</v>
      </c>
      <c r="C668" t="s">
        <v>150</v>
      </c>
      <c r="D668" t="s">
        <v>40</v>
      </c>
      <c r="E668" t="s">
        <v>172</v>
      </c>
      <c r="F668" t="s">
        <v>509</v>
      </c>
      <c r="G668">
        <v>-1200</v>
      </c>
      <c r="H668" t="s">
        <v>153</v>
      </c>
      <c r="I668" t="s">
        <v>214</v>
      </c>
    </row>
    <row r="669" spans="1:9">
      <c r="A669" s="49">
        <v>46017</v>
      </c>
      <c r="B669" s="50">
        <v>0.7405092592592593</v>
      </c>
      <c r="C669" t="s">
        <v>150</v>
      </c>
      <c r="D669" t="s">
        <v>37</v>
      </c>
      <c r="E669" t="s">
        <v>438</v>
      </c>
      <c r="F669" t="s">
        <v>510</v>
      </c>
      <c r="G669">
        <v>-8000</v>
      </c>
      <c r="H669" t="s">
        <v>153</v>
      </c>
      <c r="I669" t="s">
        <v>214</v>
      </c>
    </row>
    <row r="670" spans="1:9">
      <c r="A670" s="49">
        <v>46017</v>
      </c>
      <c r="B670" s="50">
        <v>0.7400462962962963</v>
      </c>
      <c r="C670" t="s">
        <v>150</v>
      </c>
      <c r="D670" t="s">
        <v>37</v>
      </c>
      <c r="E670" t="s">
        <v>438</v>
      </c>
      <c r="F670" t="s">
        <v>510</v>
      </c>
      <c r="G670">
        <v>-8000</v>
      </c>
      <c r="H670" t="s">
        <v>153</v>
      </c>
      <c r="I670" t="s">
        <v>214</v>
      </c>
    </row>
    <row r="671" spans="1:9">
      <c r="A671" s="49">
        <v>46017</v>
      </c>
      <c r="B671" s="50">
        <v>0.7142708333333333</v>
      </c>
      <c r="C671" t="s">
        <v>150</v>
      </c>
      <c r="D671" t="s">
        <v>40</v>
      </c>
      <c r="E671" t="s">
        <v>172</v>
      </c>
      <c r="F671" t="s">
        <v>173</v>
      </c>
      <c r="G671">
        <v>-24353</v>
      </c>
      <c r="H671" t="s">
        <v>153</v>
      </c>
      <c r="I671" t="s">
        <v>64</v>
      </c>
    </row>
    <row r="672" spans="1:9">
      <c r="A672" s="49">
        <v>46017</v>
      </c>
      <c r="B672" s="50">
        <v>0.3878935185185185</v>
      </c>
      <c r="C672" t="s">
        <v>150</v>
      </c>
      <c r="D672" t="s">
        <v>42</v>
      </c>
      <c r="E672" t="s">
        <v>374</v>
      </c>
      <c r="F672" t="s">
        <v>375</v>
      </c>
      <c r="G672">
        <v>-3600</v>
      </c>
      <c r="H672" t="s">
        <v>153</v>
      </c>
      <c r="I672" t="s">
        <v>214</v>
      </c>
    </row>
    <row r="673" spans="1:9">
      <c r="A673" s="49">
        <v>46016</v>
      </c>
      <c r="B673" s="50">
        <v>0.6333333333333333</v>
      </c>
      <c r="C673" t="s">
        <v>150</v>
      </c>
      <c r="D673" t="s">
        <v>42</v>
      </c>
      <c r="E673" t="s">
        <v>212</v>
      </c>
      <c r="F673" t="s">
        <v>213</v>
      </c>
      <c r="G673">
        <v>-179000</v>
      </c>
      <c r="H673" t="s">
        <v>153</v>
      </c>
      <c r="I673" t="s">
        <v>214</v>
      </c>
    </row>
    <row r="674" spans="1:9">
      <c r="A674" s="49">
        <v>46016</v>
      </c>
      <c r="B674" s="50">
        <v>0.5561689814814815</v>
      </c>
      <c r="C674" t="s">
        <v>150</v>
      </c>
      <c r="D674" t="s">
        <v>35</v>
      </c>
      <c r="E674" t="s">
        <v>174</v>
      </c>
      <c r="F674" t="s">
        <v>314</v>
      </c>
      <c r="G674">
        <v>-10000</v>
      </c>
      <c r="H674" t="s">
        <v>153</v>
      </c>
      <c r="I674" t="s">
        <v>64</v>
      </c>
    </row>
    <row r="675" spans="1:9">
      <c r="A675" s="49">
        <v>46016</v>
      </c>
      <c r="B675" s="50">
        <v>0.4855555555555556</v>
      </c>
      <c r="C675" t="s">
        <v>155</v>
      </c>
      <c r="D675" t="s">
        <v>155</v>
      </c>
      <c r="E675" t="s">
        <v>32</v>
      </c>
      <c r="F675" t="s">
        <v>511</v>
      </c>
      <c r="G675">
        <v>499000</v>
      </c>
      <c r="H675" t="s">
        <v>153</v>
      </c>
      <c r="I675" t="s">
        <v>64</v>
      </c>
    </row>
    <row r="676" spans="1:9">
      <c r="A676" s="49">
        <v>46015</v>
      </c>
      <c r="B676" s="50">
        <v>0.9626273148148148</v>
      </c>
      <c r="C676" t="s">
        <v>155</v>
      </c>
      <c r="D676" t="s">
        <v>229</v>
      </c>
      <c r="E676" t="s">
        <v>32</v>
      </c>
      <c r="F676" t="s">
        <v>31</v>
      </c>
      <c r="G676">
        <v>1000000</v>
      </c>
      <c r="H676" t="s">
        <v>153</v>
      </c>
      <c r="I676" t="s">
        <v>64</v>
      </c>
    </row>
    <row r="677" spans="1:9">
      <c r="A677" s="49">
        <v>46015</v>
      </c>
      <c r="B677" s="50">
        <v>0.9187962962962963</v>
      </c>
      <c r="C677" t="s">
        <v>155</v>
      </c>
      <c r="D677" t="s">
        <v>229</v>
      </c>
      <c r="E677" t="s">
        <v>32</v>
      </c>
      <c r="F677" t="s">
        <v>512</v>
      </c>
      <c r="G677">
        <v>499000</v>
      </c>
      <c r="H677" t="s">
        <v>153</v>
      </c>
      <c r="I677" t="s">
        <v>64</v>
      </c>
    </row>
    <row r="678" spans="1:9">
      <c r="A678" s="49">
        <v>46015</v>
      </c>
      <c r="B678" s="50">
        <v>0.8366782407407407</v>
      </c>
      <c r="C678" t="s">
        <v>155</v>
      </c>
      <c r="D678" t="s">
        <v>155</v>
      </c>
      <c r="E678" t="s">
        <v>32</v>
      </c>
      <c r="F678" t="s">
        <v>513</v>
      </c>
      <c r="G678">
        <v>499000</v>
      </c>
      <c r="H678" t="s">
        <v>153</v>
      </c>
      <c r="I678" t="s">
        <v>64</v>
      </c>
    </row>
    <row r="679" spans="1:9">
      <c r="A679" s="49">
        <v>46015</v>
      </c>
      <c r="B679" s="50">
        <v>0.7358564814814815</v>
      </c>
      <c r="C679" t="s">
        <v>155</v>
      </c>
      <c r="D679" t="s">
        <v>158</v>
      </c>
      <c r="E679" t="s">
        <v>32</v>
      </c>
      <c r="F679" t="s">
        <v>450</v>
      </c>
      <c r="G679">
        <v>-12750</v>
      </c>
      <c r="H679" t="s">
        <v>153</v>
      </c>
      <c r="I679" t="s">
        <v>64</v>
      </c>
    </row>
    <row r="680" spans="1:9">
      <c r="A680" s="49">
        <v>46015</v>
      </c>
      <c r="B680" s="50">
        <v>0.5786921296296297</v>
      </c>
      <c r="C680" t="s">
        <v>155</v>
      </c>
      <c r="D680" t="s">
        <v>155</v>
      </c>
      <c r="E680" t="s">
        <v>32</v>
      </c>
      <c r="F680" t="s">
        <v>514</v>
      </c>
      <c r="G680">
        <v>499000</v>
      </c>
      <c r="H680" t="s">
        <v>153</v>
      </c>
      <c r="I680" t="s">
        <v>64</v>
      </c>
    </row>
    <row r="681" spans="1:9">
      <c r="A681" s="49">
        <v>46015</v>
      </c>
      <c r="B681" s="50">
        <v>0.5352430555555555</v>
      </c>
      <c r="C681" t="s">
        <v>155</v>
      </c>
      <c r="D681" t="s">
        <v>158</v>
      </c>
      <c r="E681" t="s">
        <v>32</v>
      </c>
      <c r="F681" t="s">
        <v>7</v>
      </c>
      <c r="G681">
        <v>97000</v>
      </c>
      <c r="H681" t="s">
        <v>153</v>
      </c>
      <c r="I681" t="s">
        <v>64</v>
      </c>
    </row>
    <row r="682" spans="1:9">
      <c r="A682" s="49">
        <v>46015</v>
      </c>
      <c r="B682" s="50">
        <v>0.5343402777777778</v>
      </c>
      <c r="C682" t="s">
        <v>150</v>
      </c>
      <c r="D682" t="s">
        <v>44</v>
      </c>
      <c r="E682" t="s">
        <v>260</v>
      </c>
      <c r="F682" t="s">
        <v>261</v>
      </c>
      <c r="G682">
        <v>-100000</v>
      </c>
      <c r="H682" t="s">
        <v>153</v>
      </c>
      <c r="I682" t="s">
        <v>64</v>
      </c>
    </row>
    <row r="683" spans="1:9">
      <c r="A683" s="49">
        <v>46015</v>
      </c>
      <c r="B683" s="50">
        <v>0.5323842592592593</v>
      </c>
      <c r="C683" t="s">
        <v>150</v>
      </c>
      <c r="D683" t="s">
        <v>42</v>
      </c>
      <c r="E683" t="s">
        <v>374</v>
      </c>
      <c r="F683" t="s">
        <v>375</v>
      </c>
      <c r="G683">
        <v>-2000</v>
      </c>
      <c r="H683" t="s">
        <v>153</v>
      </c>
      <c r="I683" t="s">
        <v>214</v>
      </c>
    </row>
    <row r="684" spans="1:9">
      <c r="A684" s="49">
        <v>46015</v>
      </c>
      <c r="B684" s="50">
        <v>0.4062268518518519</v>
      </c>
      <c r="C684" t="s">
        <v>155</v>
      </c>
      <c r="D684" t="s">
        <v>155</v>
      </c>
      <c r="E684" t="s">
        <v>32</v>
      </c>
      <c r="F684" t="s">
        <v>515</v>
      </c>
      <c r="G684">
        <v>199000</v>
      </c>
      <c r="H684" t="s">
        <v>153</v>
      </c>
      <c r="I684" t="s">
        <v>64</v>
      </c>
    </row>
    <row r="685" spans="1:9">
      <c r="A685" s="49">
        <v>46015</v>
      </c>
      <c r="B685" s="50">
        <v>0.4034375</v>
      </c>
      <c r="C685" t="s">
        <v>155</v>
      </c>
      <c r="D685" t="s">
        <v>155</v>
      </c>
      <c r="E685" t="s">
        <v>32</v>
      </c>
      <c r="F685" t="s">
        <v>515</v>
      </c>
      <c r="G685">
        <v>300000</v>
      </c>
      <c r="H685" t="s">
        <v>153</v>
      </c>
      <c r="I685" t="s">
        <v>64</v>
      </c>
    </row>
    <row r="686" spans="1:9">
      <c r="A686" s="49">
        <v>46015</v>
      </c>
      <c r="B686" s="50">
        <v>0.2785532407407407</v>
      </c>
      <c r="C686" t="s">
        <v>150</v>
      </c>
      <c r="D686" t="s">
        <v>37</v>
      </c>
      <c r="E686" t="s">
        <v>201</v>
      </c>
      <c r="F686" t="s">
        <v>516</v>
      </c>
      <c r="G686">
        <v>-3095</v>
      </c>
      <c r="H686" t="s">
        <v>153</v>
      </c>
      <c r="I686" t="s">
        <v>214</v>
      </c>
    </row>
    <row r="687" spans="1:9">
      <c r="A687" s="49">
        <v>46015</v>
      </c>
      <c r="B687" s="50">
        <v>0.104525462962963</v>
      </c>
      <c r="C687" t="s">
        <v>155</v>
      </c>
      <c r="D687" t="s">
        <v>155</v>
      </c>
      <c r="E687" t="s">
        <v>32</v>
      </c>
      <c r="F687" t="s">
        <v>275</v>
      </c>
      <c r="G687">
        <v>499000</v>
      </c>
      <c r="H687" t="s">
        <v>153</v>
      </c>
      <c r="I687" t="s">
        <v>64</v>
      </c>
    </row>
    <row r="688" spans="1:9">
      <c r="A688" s="49">
        <v>46014</v>
      </c>
      <c r="B688" s="50">
        <v>0.8131828703703704</v>
      </c>
      <c r="C688" t="s">
        <v>155</v>
      </c>
      <c r="D688" t="s">
        <v>155</v>
      </c>
      <c r="E688" t="s">
        <v>32</v>
      </c>
      <c r="F688" t="s">
        <v>517</v>
      </c>
      <c r="G688">
        <v>499000</v>
      </c>
      <c r="H688" t="s">
        <v>153</v>
      </c>
      <c r="I688" t="s">
        <v>64</v>
      </c>
    </row>
    <row r="689" spans="1:9">
      <c r="A689" s="49">
        <v>46014</v>
      </c>
      <c r="B689" s="50">
        <v>0.8131597222222222</v>
      </c>
      <c r="C689" t="s">
        <v>150</v>
      </c>
      <c r="D689" t="s">
        <v>47</v>
      </c>
      <c r="E689" t="s">
        <v>292</v>
      </c>
      <c r="F689" t="s">
        <v>518</v>
      </c>
      <c r="G689">
        <v>-14575</v>
      </c>
      <c r="H689" t="s">
        <v>153</v>
      </c>
      <c r="I689" t="s">
        <v>214</v>
      </c>
    </row>
    <row r="690" spans="1:9">
      <c r="A690" s="49">
        <v>46014</v>
      </c>
      <c r="B690" s="50">
        <v>0.7627777777777778</v>
      </c>
      <c r="C690" t="s">
        <v>150</v>
      </c>
      <c r="D690" t="s">
        <v>35</v>
      </c>
      <c r="E690" t="s">
        <v>174</v>
      </c>
      <c r="F690" t="s">
        <v>314</v>
      </c>
      <c r="G690">
        <v>-10000</v>
      </c>
      <c r="H690" t="s">
        <v>153</v>
      </c>
      <c r="I690" t="s">
        <v>64</v>
      </c>
    </row>
    <row r="691" spans="1:9">
      <c r="A691" s="49">
        <v>46014</v>
      </c>
      <c r="B691" s="50">
        <v>0.7542476851851851</v>
      </c>
      <c r="C691" t="s">
        <v>150</v>
      </c>
      <c r="D691" t="s">
        <v>37</v>
      </c>
      <c r="E691" t="s">
        <v>438</v>
      </c>
      <c r="F691" t="s">
        <v>519</v>
      </c>
      <c r="G691">
        <v>-5000</v>
      </c>
      <c r="H691" t="s">
        <v>153</v>
      </c>
      <c r="I691" t="s">
        <v>214</v>
      </c>
    </row>
    <row r="692" spans="1:9">
      <c r="A692" s="49">
        <v>46014</v>
      </c>
      <c r="B692" s="50">
        <v>0.7468171296296297</v>
      </c>
      <c r="C692" t="s">
        <v>150</v>
      </c>
      <c r="D692" t="s">
        <v>42</v>
      </c>
      <c r="E692" t="s">
        <v>177</v>
      </c>
      <c r="F692" t="s">
        <v>520</v>
      </c>
      <c r="G692">
        <v>-65000</v>
      </c>
      <c r="H692" t="s">
        <v>153</v>
      </c>
      <c r="I692" t="s">
        <v>214</v>
      </c>
    </row>
    <row r="693" spans="1:9">
      <c r="A693" s="49">
        <v>46014</v>
      </c>
      <c r="B693" s="50">
        <v>0.6873842592592593</v>
      </c>
      <c r="C693" t="s">
        <v>155</v>
      </c>
      <c r="D693" t="s">
        <v>155</v>
      </c>
      <c r="E693" t="s">
        <v>32</v>
      </c>
      <c r="F693" t="s">
        <v>206</v>
      </c>
      <c r="G693">
        <v>9900</v>
      </c>
      <c r="H693" t="s">
        <v>153</v>
      </c>
      <c r="I693" t="s">
        <v>157</v>
      </c>
    </row>
    <row r="694" spans="1:9">
      <c r="A694" s="49">
        <v>46014</v>
      </c>
      <c r="B694" s="50">
        <v>0.687337962962963</v>
      </c>
      <c r="C694" t="s">
        <v>155</v>
      </c>
      <c r="D694" t="s">
        <v>155</v>
      </c>
      <c r="E694" t="s">
        <v>32</v>
      </c>
      <c r="F694" t="s">
        <v>156</v>
      </c>
      <c r="G694">
        <v>9900</v>
      </c>
      <c r="H694" t="s">
        <v>153</v>
      </c>
      <c r="I694" t="s">
        <v>157</v>
      </c>
    </row>
    <row r="695" spans="1:9">
      <c r="A695" s="49">
        <v>46014</v>
      </c>
      <c r="B695" s="50">
        <v>0.4834375</v>
      </c>
      <c r="C695" t="s">
        <v>150</v>
      </c>
      <c r="D695" t="s">
        <v>42</v>
      </c>
      <c r="E695" t="s">
        <v>374</v>
      </c>
      <c r="F695" t="s">
        <v>375</v>
      </c>
      <c r="G695">
        <v>-40000</v>
      </c>
      <c r="H695" t="s">
        <v>153</v>
      </c>
      <c r="I695" t="s">
        <v>214</v>
      </c>
    </row>
    <row r="696" spans="1:9">
      <c r="A696" s="49">
        <v>46014</v>
      </c>
      <c r="B696" s="50">
        <v>0.4138078703703704</v>
      </c>
      <c r="C696" t="s">
        <v>155</v>
      </c>
      <c r="D696" t="s">
        <v>229</v>
      </c>
      <c r="E696" t="s">
        <v>32</v>
      </c>
      <c r="F696" t="s">
        <v>521</v>
      </c>
      <c r="G696">
        <v>499000</v>
      </c>
      <c r="H696" t="s">
        <v>153</v>
      </c>
      <c r="I696" t="s">
        <v>64</v>
      </c>
    </row>
    <row r="697" spans="1:9">
      <c r="A697" s="49">
        <v>46014</v>
      </c>
      <c r="B697" s="50">
        <v>0.3567708333333333</v>
      </c>
      <c r="C697" t="s">
        <v>150</v>
      </c>
      <c r="D697" t="s">
        <v>42</v>
      </c>
      <c r="E697" t="s">
        <v>374</v>
      </c>
      <c r="F697" t="s">
        <v>375</v>
      </c>
      <c r="G697">
        <v>-2000</v>
      </c>
      <c r="H697" t="s">
        <v>153</v>
      </c>
      <c r="I697" t="s">
        <v>214</v>
      </c>
    </row>
    <row r="698" spans="1:9">
      <c r="A698" s="49">
        <v>46013</v>
      </c>
      <c r="B698" s="50">
        <v>0.7842824074074074</v>
      </c>
      <c r="C698" t="s">
        <v>155</v>
      </c>
      <c r="D698" t="s">
        <v>158</v>
      </c>
      <c r="E698" t="s">
        <v>32</v>
      </c>
      <c r="F698" t="s">
        <v>160</v>
      </c>
      <c r="G698">
        <v>-10000</v>
      </c>
      <c r="H698" t="s">
        <v>153</v>
      </c>
      <c r="I698" t="s">
        <v>64</v>
      </c>
    </row>
    <row r="699" spans="1:9">
      <c r="A699" s="49">
        <v>46013</v>
      </c>
      <c r="B699" s="50">
        <v>0.7842708333333334</v>
      </c>
      <c r="C699" t="s">
        <v>150</v>
      </c>
      <c r="D699" t="s">
        <v>40</v>
      </c>
      <c r="E699" t="s">
        <v>380</v>
      </c>
      <c r="F699" t="s">
        <v>381</v>
      </c>
      <c r="G699">
        <v>-3100</v>
      </c>
      <c r="H699" t="s">
        <v>153</v>
      </c>
      <c r="I699" t="s">
        <v>164</v>
      </c>
    </row>
    <row r="700" spans="1:9">
      <c r="A700" s="49">
        <v>46013</v>
      </c>
      <c r="B700" s="50">
        <v>0.7842708333333334</v>
      </c>
      <c r="C700" t="s">
        <v>155</v>
      </c>
      <c r="D700" t="s">
        <v>158</v>
      </c>
      <c r="E700" t="s">
        <v>32</v>
      </c>
      <c r="F700" t="s">
        <v>159</v>
      </c>
      <c r="G700">
        <v>10000</v>
      </c>
      <c r="H700" t="s">
        <v>153</v>
      </c>
      <c r="I700" t="s">
        <v>157</v>
      </c>
    </row>
    <row r="701" spans="1:9">
      <c r="A701" s="49">
        <v>46013</v>
      </c>
      <c r="B701" s="50">
        <v>0.7644675925925926</v>
      </c>
      <c r="C701" t="s">
        <v>150</v>
      </c>
      <c r="D701" t="s">
        <v>49</v>
      </c>
      <c r="E701" t="s">
        <v>491</v>
      </c>
      <c r="F701" t="s">
        <v>522</v>
      </c>
      <c r="G701">
        <v>-6500</v>
      </c>
      <c r="H701" t="s">
        <v>153</v>
      </c>
      <c r="I701" t="s">
        <v>214</v>
      </c>
    </row>
    <row r="702" spans="1:9">
      <c r="A702" s="49">
        <v>46013</v>
      </c>
      <c r="B702" s="50">
        <v>0.6947569444444445</v>
      </c>
      <c r="C702" t="s">
        <v>155</v>
      </c>
      <c r="D702" t="s">
        <v>155</v>
      </c>
      <c r="E702" t="s">
        <v>32</v>
      </c>
      <c r="F702" t="s">
        <v>523</v>
      </c>
      <c r="G702">
        <v>499000</v>
      </c>
      <c r="H702" t="s">
        <v>153</v>
      </c>
      <c r="I702" t="s">
        <v>64</v>
      </c>
    </row>
    <row r="703" spans="1:9">
      <c r="A703" s="49">
        <v>46013</v>
      </c>
      <c r="B703" s="50">
        <v>0.5770601851851852</v>
      </c>
      <c r="C703" t="s">
        <v>150</v>
      </c>
      <c r="D703" t="s">
        <v>47</v>
      </c>
      <c r="E703" t="s">
        <v>292</v>
      </c>
      <c r="F703" t="s">
        <v>293</v>
      </c>
      <c r="G703">
        <v>-32990</v>
      </c>
      <c r="H703" t="s">
        <v>153</v>
      </c>
      <c r="I703" t="s">
        <v>164</v>
      </c>
    </row>
    <row r="704" spans="1:9">
      <c r="A704" s="49">
        <v>46013</v>
      </c>
      <c r="B704" s="50">
        <v>0.5770601851851852</v>
      </c>
      <c r="C704" t="s">
        <v>155</v>
      </c>
      <c r="D704" t="s">
        <v>158</v>
      </c>
      <c r="E704" t="s">
        <v>32</v>
      </c>
      <c r="F704" t="s">
        <v>159</v>
      </c>
      <c r="G704">
        <v>29989</v>
      </c>
      <c r="H704" t="s">
        <v>153</v>
      </c>
      <c r="I704" t="s">
        <v>157</v>
      </c>
    </row>
    <row r="705" spans="1:9">
      <c r="A705" s="49">
        <v>46013</v>
      </c>
      <c r="B705" s="50">
        <v>0.5770601851851852</v>
      </c>
      <c r="C705" t="s">
        <v>155</v>
      </c>
      <c r="D705" t="s">
        <v>158</v>
      </c>
      <c r="E705" t="s">
        <v>32</v>
      </c>
      <c r="F705" t="s">
        <v>160</v>
      </c>
      <c r="G705">
        <v>-29989</v>
      </c>
      <c r="H705" t="s">
        <v>153</v>
      </c>
      <c r="I705" t="s">
        <v>64</v>
      </c>
    </row>
    <row r="706" spans="1:9">
      <c r="A706" s="49">
        <v>46013</v>
      </c>
      <c r="B706" s="50">
        <v>0.4425578703703704</v>
      </c>
      <c r="C706" t="s">
        <v>150</v>
      </c>
      <c r="D706" t="s">
        <v>42</v>
      </c>
      <c r="E706" t="s">
        <v>374</v>
      </c>
      <c r="F706" t="s">
        <v>375</v>
      </c>
      <c r="G706">
        <v>-4900</v>
      </c>
      <c r="H706" t="s">
        <v>153</v>
      </c>
      <c r="I706" t="s">
        <v>214</v>
      </c>
    </row>
    <row r="707" spans="1:9">
      <c r="A707" s="49">
        <v>46013</v>
      </c>
      <c r="B707" s="50">
        <v>0.3879398148148148</v>
      </c>
      <c r="C707" t="s">
        <v>150</v>
      </c>
      <c r="D707" t="s">
        <v>44</v>
      </c>
      <c r="E707" t="s">
        <v>162</v>
      </c>
      <c r="F707" t="s">
        <v>163</v>
      </c>
      <c r="G707">
        <v>-4700</v>
      </c>
      <c r="H707" t="s">
        <v>153</v>
      </c>
      <c r="I707" t="s">
        <v>164</v>
      </c>
    </row>
    <row r="708" spans="1:9">
      <c r="A708" s="49">
        <v>46012</v>
      </c>
      <c r="B708" s="50">
        <v>0.8572453703703704</v>
      </c>
      <c r="C708" t="s">
        <v>150</v>
      </c>
      <c r="D708" t="s">
        <v>42</v>
      </c>
      <c r="E708" t="s">
        <v>177</v>
      </c>
      <c r="F708" t="s">
        <v>524</v>
      </c>
      <c r="G708">
        <v>-73000</v>
      </c>
      <c r="H708" t="s">
        <v>153</v>
      </c>
      <c r="I708" t="s">
        <v>214</v>
      </c>
    </row>
    <row r="709" spans="1:9">
      <c r="A709" s="49">
        <v>46012</v>
      </c>
      <c r="B709" s="50">
        <v>0.6077777777777778</v>
      </c>
      <c r="C709" t="s">
        <v>155</v>
      </c>
      <c r="D709" t="s">
        <v>155</v>
      </c>
      <c r="E709" t="s">
        <v>32</v>
      </c>
      <c r="F709" t="s">
        <v>525</v>
      </c>
      <c r="G709">
        <v>199200</v>
      </c>
      <c r="H709" t="s">
        <v>153</v>
      </c>
      <c r="I709" t="s">
        <v>64</v>
      </c>
    </row>
    <row r="710" spans="1:9">
      <c r="A710" s="49">
        <v>46011</v>
      </c>
      <c r="B710" s="50">
        <v>0.9420717592592592</v>
      </c>
      <c r="C710" t="s">
        <v>150</v>
      </c>
      <c r="D710" t="s">
        <v>37</v>
      </c>
      <c r="E710" t="s">
        <v>438</v>
      </c>
      <c r="F710" t="s">
        <v>526</v>
      </c>
      <c r="G710">
        <v>-5000</v>
      </c>
      <c r="H710" t="s">
        <v>153</v>
      </c>
      <c r="I710" t="s">
        <v>214</v>
      </c>
    </row>
    <row r="711" spans="1:9">
      <c r="A711" s="49">
        <v>46011</v>
      </c>
      <c r="B711" s="50">
        <v>0.873912037037037</v>
      </c>
      <c r="C711" t="s">
        <v>150</v>
      </c>
      <c r="D711" t="s">
        <v>49</v>
      </c>
      <c r="E711" t="s">
        <v>304</v>
      </c>
      <c r="F711" t="s">
        <v>527</v>
      </c>
      <c r="G711">
        <v>-69000</v>
      </c>
      <c r="H711" t="s">
        <v>153</v>
      </c>
      <c r="I711" t="s">
        <v>214</v>
      </c>
    </row>
    <row r="712" spans="1:9">
      <c r="A712" s="49">
        <v>46011</v>
      </c>
      <c r="B712" s="50">
        <v>0.8672453703703704</v>
      </c>
      <c r="C712" t="s">
        <v>155</v>
      </c>
      <c r="D712" t="s">
        <v>155</v>
      </c>
      <c r="E712" t="s">
        <v>32</v>
      </c>
      <c r="F712" t="s">
        <v>525</v>
      </c>
      <c r="G712">
        <v>200000</v>
      </c>
      <c r="H712" t="s">
        <v>153</v>
      </c>
      <c r="I712" t="s">
        <v>64</v>
      </c>
    </row>
    <row r="713" spans="1:9">
      <c r="A713" s="49">
        <v>46011</v>
      </c>
      <c r="B713" s="50">
        <v>0.8418981481481481</v>
      </c>
      <c r="C713" t="s">
        <v>155</v>
      </c>
      <c r="D713" t="s">
        <v>155</v>
      </c>
      <c r="E713" t="s">
        <v>32</v>
      </c>
      <c r="F713" t="s">
        <v>528</v>
      </c>
      <c r="G713">
        <v>499000</v>
      </c>
      <c r="H713" t="s">
        <v>153</v>
      </c>
      <c r="I713" t="s">
        <v>64</v>
      </c>
    </row>
    <row r="714" spans="1:9">
      <c r="A714" s="49">
        <v>46011</v>
      </c>
      <c r="B714" s="50">
        <v>0.7456828703703704</v>
      </c>
      <c r="C714" t="s">
        <v>155</v>
      </c>
      <c r="D714" t="s">
        <v>155</v>
      </c>
      <c r="E714" t="s">
        <v>32</v>
      </c>
      <c r="F714" t="s">
        <v>529</v>
      </c>
      <c r="G714">
        <v>499000</v>
      </c>
      <c r="H714" t="s">
        <v>153</v>
      </c>
      <c r="I714" t="s">
        <v>64</v>
      </c>
    </row>
    <row r="715" spans="1:9">
      <c r="A715" s="49">
        <v>46011</v>
      </c>
      <c r="B715" s="50">
        <v>0.7052777777777778</v>
      </c>
      <c r="C715" t="s">
        <v>150</v>
      </c>
      <c r="D715" t="s">
        <v>48</v>
      </c>
      <c r="E715" t="s">
        <v>185</v>
      </c>
      <c r="F715" t="s">
        <v>530</v>
      </c>
      <c r="G715">
        <v>-11500</v>
      </c>
      <c r="H715" t="s">
        <v>153</v>
      </c>
      <c r="I715" t="s">
        <v>214</v>
      </c>
    </row>
    <row r="716" spans="1:9">
      <c r="A716" s="49">
        <v>46011</v>
      </c>
      <c r="B716" s="50">
        <v>0.6347222222222222</v>
      </c>
      <c r="C716" t="s">
        <v>150</v>
      </c>
      <c r="D716" t="s">
        <v>35</v>
      </c>
      <c r="E716" t="s">
        <v>174</v>
      </c>
      <c r="F716" t="s">
        <v>314</v>
      </c>
      <c r="G716">
        <v>-10000</v>
      </c>
      <c r="H716" t="s">
        <v>153</v>
      </c>
      <c r="I716" t="s">
        <v>64</v>
      </c>
    </row>
    <row r="717" spans="1:9">
      <c r="A717" s="49">
        <v>46011</v>
      </c>
      <c r="B717" s="50">
        <v>0.6332060185185185</v>
      </c>
      <c r="C717" t="s">
        <v>150</v>
      </c>
      <c r="D717" t="s">
        <v>37</v>
      </c>
      <c r="E717" t="s">
        <v>410</v>
      </c>
      <c r="F717" t="s">
        <v>531</v>
      </c>
      <c r="G717">
        <v>-2000</v>
      </c>
      <c r="H717" t="s">
        <v>153</v>
      </c>
      <c r="I717" t="s">
        <v>214</v>
      </c>
    </row>
    <row r="718" spans="1:9">
      <c r="A718" s="49">
        <v>46011</v>
      </c>
      <c r="B718" s="50">
        <v>0.5043171296296296</v>
      </c>
      <c r="C718" t="s">
        <v>155</v>
      </c>
      <c r="D718" t="s">
        <v>155</v>
      </c>
      <c r="E718" t="s">
        <v>32</v>
      </c>
      <c r="F718" t="s">
        <v>532</v>
      </c>
      <c r="G718">
        <v>499000</v>
      </c>
      <c r="H718" t="s">
        <v>153</v>
      </c>
      <c r="I718" t="s">
        <v>64</v>
      </c>
    </row>
    <row r="719" spans="1:9">
      <c r="A719" s="49">
        <v>46011</v>
      </c>
      <c r="B719" s="50">
        <v>0.5010648148148148</v>
      </c>
      <c r="C719" t="s">
        <v>167</v>
      </c>
      <c r="D719" t="s">
        <v>28</v>
      </c>
      <c r="E719" t="s">
        <v>32</v>
      </c>
      <c r="F719" t="s">
        <v>188</v>
      </c>
      <c r="G719">
        <v>1</v>
      </c>
      <c r="H719" t="s">
        <v>153</v>
      </c>
      <c r="I719" t="s">
        <v>60</v>
      </c>
    </row>
    <row r="720" spans="1:9">
      <c r="A720" s="49">
        <v>46011</v>
      </c>
      <c r="B720" s="50">
        <v>0.4733333333333333</v>
      </c>
      <c r="C720" t="s">
        <v>150</v>
      </c>
      <c r="D720" t="s">
        <v>36</v>
      </c>
      <c r="E720" t="s">
        <v>342</v>
      </c>
      <c r="F720" t="s">
        <v>533</v>
      </c>
      <c r="G720">
        <v>-4700</v>
      </c>
      <c r="H720" t="s">
        <v>153</v>
      </c>
      <c r="I720" t="s">
        <v>64</v>
      </c>
    </row>
    <row r="721" spans="1:9">
      <c r="A721" s="49">
        <v>46011</v>
      </c>
      <c r="B721" s="50">
        <v>0.1527314814814815</v>
      </c>
      <c r="C721" t="s">
        <v>155</v>
      </c>
      <c r="D721" t="s">
        <v>32</v>
      </c>
      <c r="E721" t="s">
        <v>32</v>
      </c>
      <c r="F721" t="s">
        <v>189</v>
      </c>
      <c r="G721">
        <v>1</v>
      </c>
      <c r="H721" t="s">
        <v>153</v>
      </c>
      <c r="I721" t="s">
        <v>66</v>
      </c>
    </row>
    <row r="722" spans="1:9">
      <c r="A722" s="49">
        <v>46011</v>
      </c>
      <c r="B722" s="50">
        <v>0.1050810185185185</v>
      </c>
      <c r="C722" t="s">
        <v>167</v>
      </c>
      <c r="D722" t="s">
        <v>28</v>
      </c>
      <c r="E722" t="s">
        <v>32</v>
      </c>
      <c r="F722" t="s">
        <v>534</v>
      </c>
      <c r="G722">
        <v>0</v>
      </c>
      <c r="H722" t="s">
        <v>153</v>
      </c>
      <c r="I722" t="s">
        <v>63</v>
      </c>
    </row>
    <row r="723" spans="1:9">
      <c r="A723" s="49">
        <v>46010</v>
      </c>
      <c r="B723" s="50">
        <v>0.8661689814814815</v>
      </c>
      <c r="C723" t="s">
        <v>167</v>
      </c>
      <c r="D723" t="s">
        <v>28</v>
      </c>
      <c r="E723" t="s">
        <v>32</v>
      </c>
      <c r="F723" t="s">
        <v>535</v>
      </c>
      <c r="G723">
        <v>50000</v>
      </c>
      <c r="H723" t="s">
        <v>153</v>
      </c>
      <c r="I723" t="s">
        <v>64</v>
      </c>
    </row>
    <row r="724" spans="1:9">
      <c r="A724" s="49">
        <v>46010</v>
      </c>
      <c r="B724" s="50">
        <v>0.8538310185185185</v>
      </c>
      <c r="C724" t="s">
        <v>150</v>
      </c>
      <c r="D724" t="s">
        <v>48</v>
      </c>
      <c r="E724" t="s">
        <v>185</v>
      </c>
      <c r="F724" t="s">
        <v>536</v>
      </c>
      <c r="G724">
        <v>-11000</v>
      </c>
      <c r="H724" t="s">
        <v>153</v>
      </c>
      <c r="I724" t="s">
        <v>214</v>
      </c>
    </row>
    <row r="725" spans="1:9">
      <c r="A725" s="49">
        <v>46010</v>
      </c>
      <c r="B725" s="50">
        <v>0.8502314814814815</v>
      </c>
      <c r="C725" t="s">
        <v>150</v>
      </c>
      <c r="D725" t="s">
        <v>42</v>
      </c>
      <c r="E725" t="s">
        <v>177</v>
      </c>
      <c r="F725" t="s">
        <v>537</v>
      </c>
      <c r="G725">
        <v>-67000</v>
      </c>
      <c r="H725" t="s">
        <v>153</v>
      </c>
      <c r="I725" t="s">
        <v>214</v>
      </c>
    </row>
    <row r="726" spans="1:9">
      <c r="A726" s="49">
        <v>46010</v>
      </c>
      <c r="B726" s="50">
        <v>0.657337962962963</v>
      </c>
      <c r="C726" t="s">
        <v>155</v>
      </c>
      <c r="D726" t="s">
        <v>155</v>
      </c>
      <c r="E726" t="s">
        <v>32</v>
      </c>
      <c r="F726" t="s">
        <v>538</v>
      </c>
      <c r="G726">
        <v>499000</v>
      </c>
      <c r="H726" t="s">
        <v>153</v>
      </c>
      <c r="I726" t="s">
        <v>64</v>
      </c>
    </row>
    <row r="727" spans="1:9">
      <c r="A727" s="49">
        <v>46010</v>
      </c>
      <c r="B727" s="50">
        <v>0.5306481481481482</v>
      </c>
      <c r="C727" t="s">
        <v>150</v>
      </c>
      <c r="D727" t="s">
        <v>40</v>
      </c>
      <c r="E727" t="s">
        <v>380</v>
      </c>
      <c r="F727" t="s">
        <v>381</v>
      </c>
      <c r="G727">
        <v>-2300</v>
      </c>
      <c r="H727" t="s">
        <v>153</v>
      </c>
      <c r="I727" t="s">
        <v>164</v>
      </c>
    </row>
    <row r="728" spans="1:9">
      <c r="A728" s="49">
        <v>46010</v>
      </c>
      <c r="B728" s="50">
        <v>0.5306481481481482</v>
      </c>
      <c r="C728" t="s">
        <v>155</v>
      </c>
      <c r="D728" t="s">
        <v>158</v>
      </c>
      <c r="E728" t="s">
        <v>32</v>
      </c>
      <c r="F728" t="s">
        <v>159</v>
      </c>
      <c r="G728">
        <v>10000</v>
      </c>
      <c r="H728" t="s">
        <v>153</v>
      </c>
      <c r="I728" t="s">
        <v>157</v>
      </c>
    </row>
    <row r="729" spans="1:9">
      <c r="A729" s="49">
        <v>46010</v>
      </c>
      <c r="B729" s="50">
        <v>0.5306481481481482</v>
      </c>
      <c r="C729" t="s">
        <v>155</v>
      </c>
      <c r="D729" t="s">
        <v>158</v>
      </c>
      <c r="E729" t="s">
        <v>32</v>
      </c>
      <c r="F729" t="s">
        <v>160</v>
      </c>
      <c r="G729">
        <v>-10000</v>
      </c>
      <c r="H729" t="s">
        <v>153</v>
      </c>
      <c r="I729" t="s">
        <v>64</v>
      </c>
    </row>
    <row r="730" spans="1:9">
      <c r="A730" s="49">
        <v>46009</v>
      </c>
      <c r="B730" s="50">
        <v>0.7202893518518518</v>
      </c>
      <c r="C730" t="s">
        <v>155</v>
      </c>
      <c r="D730" t="s">
        <v>155</v>
      </c>
      <c r="E730" t="s">
        <v>32</v>
      </c>
      <c r="F730" t="s">
        <v>156</v>
      </c>
      <c r="G730">
        <v>-241750</v>
      </c>
      <c r="H730" t="s">
        <v>153</v>
      </c>
      <c r="I730" t="s">
        <v>157</v>
      </c>
    </row>
    <row r="731" spans="1:9">
      <c r="A731" s="49">
        <v>46009</v>
      </c>
      <c r="B731" s="50">
        <v>0.7202893518518518</v>
      </c>
      <c r="C731" t="s">
        <v>155</v>
      </c>
      <c r="D731" t="s">
        <v>158</v>
      </c>
      <c r="E731" t="s">
        <v>32</v>
      </c>
      <c r="F731" t="s">
        <v>160</v>
      </c>
      <c r="G731">
        <v>-239325</v>
      </c>
      <c r="H731" t="s">
        <v>153</v>
      </c>
      <c r="I731" t="s">
        <v>64</v>
      </c>
    </row>
    <row r="732" spans="1:9">
      <c r="A732" s="49">
        <v>46009</v>
      </c>
      <c r="B732" s="50">
        <v>0.7202777777777778</v>
      </c>
      <c r="C732" t="s">
        <v>155</v>
      </c>
      <c r="D732" t="s">
        <v>158</v>
      </c>
      <c r="E732" t="s">
        <v>32</v>
      </c>
      <c r="F732" t="s">
        <v>159</v>
      </c>
      <c r="G732">
        <v>239325</v>
      </c>
      <c r="H732" t="s">
        <v>153</v>
      </c>
      <c r="I732" t="s">
        <v>157</v>
      </c>
    </row>
    <row r="733" spans="1:9">
      <c r="A733" s="49">
        <v>46009</v>
      </c>
      <c r="B733" s="50">
        <v>0.4988425925925926</v>
      </c>
      <c r="C733" t="s">
        <v>150</v>
      </c>
      <c r="D733" t="s">
        <v>42</v>
      </c>
      <c r="E733" t="s">
        <v>374</v>
      </c>
      <c r="F733" t="s">
        <v>375</v>
      </c>
      <c r="G733">
        <v>-2000</v>
      </c>
      <c r="H733" t="s">
        <v>153</v>
      </c>
      <c r="I733" t="s">
        <v>214</v>
      </c>
    </row>
    <row r="734" spans="1:9">
      <c r="A734" s="49">
        <v>46009</v>
      </c>
      <c r="B734" s="50">
        <v>0.4348958333333333</v>
      </c>
      <c r="C734" t="s">
        <v>155</v>
      </c>
      <c r="D734" t="s">
        <v>70</v>
      </c>
      <c r="E734" t="s">
        <v>32</v>
      </c>
      <c r="F734" t="s">
        <v>539</v>
      </c>
      <c r="G734">
        <v>100000</v>
      </c>
      <c r="H734" t="s">
        <v>153</v>
      </c>
      <c r="I734" t="s">
        <v>64</v>
      </c>
    </row>
    <row r="735" spans="1:9">
      <c r="A735" s="49">
        <v>46009</v>
      </c>
      <c r="B735" s="50">
        <v>0.416875</v>
      </c>
      <c r="C735" t="s">
        <v>155</v>
      </c>
      <c r="D735" t="s">
        <v>155</v>
      </c>
      <c r="E735" t="s">
        <v>32</v>
      </c>
      <c r="F735" t="s">
        <v>540</v>
      </c>
      <c r="G735">
        <v>499000</v>
      </c>
      <c r="H735" t="s">
        <v>153</v>
      </c>
      <c r="I735" t="s">
        <v>64</v>
      </c>
    </row>
    <row r="736" spans="1:9">
      <c r="A736" s="49">
        <v>46008</v>
      </c>
      <c r="B736" s="50">
        <v>0.9489004629629629</v>
      </c>
      <c r="C736" t="s">
        <v>150</v>
      </c>
      <c r="D736" t="s">
        <v>40</v>
      </c>
      <c r="E736" t="s">
        <v>380</v>
      </c>
      <c r="F736" t="s">
        <v>381</v>
      </c>
      <c r="G736">
        <v>-7600</v>
      </c>
      <c r="H736" t="s">
        <v>153</v>
      </c>
      <c r="I736" t="s">
        <v>164</v>
      </c>
    </row>
    <row r="737" spans="1:9">
      <c r="A737" s="49">
        <v>46008</v>
      </c>
      <c r="B737" s="50">
        <v>0.9489004629629629</v>
      </c>
      <c r="C737" t="s">
        <v>155</v>
      </c>
      <c r="D737" t="s">
        <v>158</v>
      </c>
      <c r="E737" t="s">
        <v>32</v>
      </c>
      <c r="F737" t="s">
        <v>159</v>
      </c>
      <c r="G737">
        <v>10000</v>
      </c>
      <c r="H737" t="s">
        <v>153</v>
      </c>
      <c r="I737" t="s">
        <v>157</v>
      </c>
    </row>
    <row r="738" spans="1:9">
      <c r="A738" s="49">
        <v>46008</v>
      </c>
      <c r="B738" s="50">
        <v>0.9489004629629629</v>
      </c>
      <c r="C738" t="s">
        <v>155</v>
      </c>
      <c r="D738" t="s">
        <v>158</v>
      </c>
      <c r="E738" t="s">
        <v>32</v>
      </c>
      <c r="F738" t="s">
        <v>160</v>
      </c>
      <c r="G738">
        <v>-10000</v>
      </c>
      <c r="H738" t="s">
        <v>153</v>
      </c>
      <c r="I738" t="s">
        <v>64</v>
      </c>
    </row>
    <row r="739" spans="1:9">
      <c r="A739" s="49">
        <v>46008</v>
      </c>
      <c r="B739" s="50">
        <v>0.8661921296296297</v>
      </c>
      <c r="C739" t="s">
        <v>155</v>
      </c>
      <c r="D739" t="s">
        <v>155</v>
      </c>
      <c r="E739" t="s">
        <v>32</v>
      </c>
      <c r="F739" t="s">
        <v>541</v>
      </c>
      <c r="G739">
        <v>499000</v>
      </c>
      <c r="H739" t="s">
        <v>153</v>
      </c>
      <c r="I739" t="s">
        <v>64</v>
      </c>
    </row>
    <row r="740" spans="1:9">
      <c r="A740" s="49">
        <v>46008</v>
      </c>
      <c r="B740" s="50">
        <v>0.7810300925925926</v>
      </c>
      <c r="C740" t="s">
        <v>155</v>
      </c>
      <c r="D740" t="s">
        <v>155</v>
      </c>
      <c r="E740" t="s">
        <v>32</v>
      </c>
      <c r="F740" t="s">
        <v>542</v>
      </c>
      <c r="G740">
        <v>499000</v>
      </c>
      <c r="H740" t="s">
        <v>153</v>
      </c>
      <c r="I740" t="s">
        <v>64</v>
      </c>
    </row>
    <row r="741" spans="1:9">
      <c r="A741" s="49">
        <v>46008</v>
      </c>
      <c r="B741" s="50">
        <v>0.6781712962962962</v>
      </c>
      <c r="C741" t="s">
        <v>155</v>
      </c>
      <c r="D741" t="s">
        <v>155</v>
      </c>
      <c r="E741" t="s">
        <v>32</v>
      </c>
      <c r="F741" t="s">
        <v>246</v>
      </c>
      <c r="G741">
        <v>-100000</v>
      </c>
      <c r="H741" t="s">
        <v>153</v>
      </c>
      <c r="I741" t="s">
        <v>64</v>
      </c>
    </row>
    <row r="742" spans="1:9">
      <c r="A742" s="49">
        <v>46008</v>
      </c>
      <c r="B742" s="50">
        <v>0.4182175925925926</v>
      </c>
      <c r="C742" t="s">
        <v>150</v>
      </c>
      <c r="D742" t="s">
        <v>44</v>
      </c>
      <c r="E742" t="s">
        <v>225</v>
      </c>
      <c r="F742" t="s">
        <v>543</v>
      </c>
      <c r="G742">
        <v>-46215</v>
      </c>
      <c r="H742" t="s">
        <v>153</v>
      </c>
      <c r="I742" t="s">
        <v>214</v>
      </c>
    </row>
    <row r="743" spans="1:9">
      <c r="A743" s="49">
        <v>46007</v>
      </c>
      <c r="B743" s="50">
        <v>0.8385416666666666</v>
      </c>
      <c r="C743" t="s">
        <v>155</v>
      </c>
      <c r="D743" t="s">
        <v>155</v>
      </c>
      <c r="E743" t="s">
        <v>32</v>
      </c>
      <c r="F743" t="s">
        <v>544</v>
      </c>
      <c r="G743">
        <v>499000</v>
      </c>
      <c r="H743" t="s">
        <v>153</v>
      </c>
      <c r="I743" t="s">
        <v>64</v>
      </c>
    </row>
    <row r="744" spans="1:9">
      <c r="A744" s="49">
        <v>46007</v>
      </c>
      <c r="B744" s="50">
        <v>0.8374305555555556</v>
      </c>
      <c r="C744" t="s">
        <v>155</v>
      </c>
      <c r="D744" t="s">
        <v>155</v>
      </c>
      <c r="E744" t="s">
        <v>32</v>
      </c>
      <c r="F744" t="s">
        <v>545</v>
      </c>
      <c r="G744">
        <v>499000</v>
      </c>
      <c r="H744" t="s">
        <v>153</v>
      </c>
      <c r="I744" t="s">
        <v>64</v>
      </c>
    </row>
    <row r="745" spans="1:9">
      <c r="A745" s="49">
        <v>46007</v>
      </c>
      <c r="B745" s="50">
        <v>0.3568518518518519</v>
      </c>
      <c r="C745" t="s">
        <v>150</v>
      </c>
      <c r="D745" t="s">
        <v>42</v>
      </c>
      <c r="E745" t="s">
        <v>374</v>
      </c>
      <c r="F745" t="s">
        <v>375</v>
      </c>
      <c r="G745">
        <v>-4600</v>
      </c>
      <c r="H745" t="s">
        <v>153</v>
      </c>
      <c r="I745" t="s">
        <v>214</v>
      </c>
    </row>
    <row r="746" spans="1:9">
      <c r="A746" s="49">
        <v>46006</v>
      </c>
      <c r="B746" s="50">
        <v>0.9483796296296296</v>
      </c>
      <c r="C746" t="s">
        <v>155</v>
      </c>
      <c r="D746" t="s">
        <v>155</v>
      </c>
      <c r="E746" t="s">
        <v>32</v>
      </c>
      <c r="F746" t="s">
        <v>546</v>
      </c>
      <c r="G746">
        <v>499000</v>
      </c>
      <c r="H746" t="s">
        <v>153</v>
      </c>
      <c r="I746" t="s">
        <v>64</v>
      </c>
    </row>
    <row r="747" spans="1:9">
      <c r="A747" s="49">
        <v>46006</v>
      </c>
      <c r="B747" s="50">
        <v>0.851099537037037</v>
      </c>
      <c r="C747" t="s">
        <v>155</v>
      </c>
      <c r="D747" t="s">
        <v>155</v>
      </c>
      <c r="E747" t="s">
        <v>32</v>
      </c>
      <c r="F747" t="s">
        <v>547</v>
      </c>
      <c r="G747">
        <v>499000</v>
      </c>
      <c r="H747" t="s">
        <v>153</v>
      </c>
      <c r="I747" t="s">
        <v>64</v>
      </c>
    </row>
    <row r="748" spans="1:9">
      <c r="A748" s="49">
        <v>46006</v>
      </c>
      <c r="B748" s="50">
        <v>0.5338078703703704</v>
      </c>
      <c r="C748" t="s">
        <v>150</v>
      </c>
      <c r="D748" t="s">
        <v>42</v>
      </c>
      <c r="E748" t="s">
        <v>374</v>
      </c>
      <c r="F748" t="s">
        <v>375</v>
      </c>
      <c r="G748">
        <v>-40000</v>
      </c>
      <c r="H748" t="s">
        <v>153</v>
      </c>
      <c r="I748" t="s">
        <v>214</v>
      </c>
    </row>
    <row r="749" spans="1:9">
      <c r="A749" s="49">
        <v>46005</v>
      </c>
      <c r="B749" s="50">
        <v>0.8657638888888889</v>
      </c>
      <c r="C749" t="s">
        <v>155</v>
      </c>
      <c r="D749" t="s">
        <v>155</v>
      </c>
      <c r="E749" t="s">
        <v>32</v>
      </c>
      <c r="F749" t="s">
        <v>160</v>
      </c>
      <c r="G749">
        <v>-96700</v>
      </c>
      <c r="H749" t="s">
        <v>153</v>
      </c>
      <c r="I749" t="s">
        <v>64</v>
      </c>
    </row>
    <row r="750" spans="1:9">
      <c r="A750" s="49">
        <v>46005</v>
      </c>
      <c r="B750" s="50">
        <v>0.862650462962963</v>
      </c>
      <c r="C750" t="s">
        <v>155</v>
      </c>
      <c r="D750" t="s">
        <v>155</v>
      </c>
      <c r="E750" t="s">
        <v>32</v>
      </c>
      <c r="F750" t="s">
        <v>156</v>
      </c>
      <c r="G750">
        <v>-96700</v>
      </c>
      <c r="H750" t="s">
        <v>153</v>
      </c>
      <c r="I750" t="s">
        <v>157</v>
      </c>
    </row>
    <row r="751" spans="1:9">
      <c r="A751" s="49">
        <v>46005</v>
      </c>
      <c r="B751" s="50">
        <v>0.8626388888888888</v>
      </c>
      <c r="C751" t="s">
        <v>155</v>
      </c>
      <c r="D751" t="s">
        <v>158</v>
      </c>
      <c r="E751" t="s">
        <v>32</v>
      </c>
      <c r="F751" t="s">
        <v>160</v>
      </c>
      <c r="G751">
        <v>-55500</v>
      </c>
      <c r="H751" t="s">
        <v>153</v>
      </c>
      <c r="I751" t="s">
        <v>64</v>
      </c>
    </row>
    <row r="752" spans="1:9">
      <c r="A752" s="49">
        <v>46005</v>
      </c>
      <c r="B752" s="50">
        <v>0.8626388888888888</v>
      </c>
      <c r="C752" t="s">
        <v>155</v>
      </c>
      <c r="D752" t="s">
        <v>158</v>
      </c>
      <c r="E752" t="s">
        <v>32</v>
      </c>
      <c r="F752" t="s">
        <v>159</v>
      </c>
      <c r="G752">
        <v>55500</v>
      </c>
      <c r="H752" t="s">
        <v>153</v>
      </c>
      <c r="I752" t="s">
        <v>157</v>
      </c>
    </row>
    <row r="753" spans="1:9">
      <c r="A753" s="49">
        <v>46005</v>
      </c>
      <c r="B753" s="50">
        <v>0.856574074074074</v>
      </c>
      <c r="C753" t="s">
        <v>150</v>
      </c>
      <c r="D753" t="s">
        <v>35</v>
      </c>
      <c r="E753" t="s">
        <v>169</v>
      </c>
      <c r="F753" t="s">
        <v>187</v>
      </c>
      <c r="G753">
        <v>0</v>
      </c>
      <c r="H753" t="s">
        <v>153</v>
      </c>
      <c r="I753" t="s">
        <v>171</v>
      </c>
    </row>
    <row r="754" spans="1:9">
      <c r="A754" s="49">
        <v>46005</v>
      </c>
      <c r="B754" s="50">
        <v>0.7624074074074074</v>
      </c>
      <c r="C754" t="s">
        <v>155</v>
      </c>
      <c r="D754" t="s">
        <v>155</v>
      </c>
      <c r="E754" t="s">
        <v>32</v>
      </c>
      <c r="F754" t="s">
        <v>548</v>
      </c>
      <c r="G754">
        <v>-325000</v>
      </c>
      <c r="H754" t="s">
        <v>153</v>
      </c>
      <c r="I754" t="s">
        <v>64</v>
      </c>
    </row>
    <row r="755" spans="1:9">
      <c r="A755" s="49">
        <v>46005</v>
      </c>
      <c r="B755" s="50">
        <v>0.7106018518518519</v>
      </c>
      <c r="C755" t="s">
        <v>150</v>
      </c>
      <c r="D755" t="s">
        <v>36</v>
      </c>
      <c r="E755" t="s">
        <v>191</v>
      </c>
      <c r="F755" t="s">
        <v>192</v>
      </c>
      <c r="G755">
        <v>-14900</v>
      </c>
      <c r="H755" t="s">
        <v>153</v>
      </c>
      <c r="I755" t="s">
        <v>157</v>
      </c>
    </row>
    <row r="756" spans="1:9">
      <c r="A756" s="49">
        <v>46005</v>
      </c>
      <c r="B756" s="50">
        <v>0.6648495370370371</v>
      </c>
      <c r="C756" t="s">
        <v>167</v>
      </c>
      <c r="D756" t="s">
        <v>28</v>
      </c>
      <c r="E756" t="s">
        <v>32</v>
      </c>
      <c r="F756" t="s">
        <v>535</v>
      </c>
      <c r="G756">
        <v>200000</v>
      </c>
      <c r="H756" t="s">
        <v>153</v>
      </c>
      <c r="I756" t="s">
        <v>64</v>
      </c>
    </row>
    <row r="757" spans="1:9">
      <c r="A757" s="49">
        <v>46005</v>
      </c>
      <c r="B757" s="50">
        <v>0.3967361111111111</v>
      </c>
      <c r="C757" t="s">
        <v>150</v>
      </c>
      <c r="D757" t="s">
        <v>44</v>
      </c>
      <c r="E757" t="s">
        <v>162</v>
      </c>
      <c r="F757" t="s">
        <v>163</v>
      </c>
      <c r="G757">
        <v>-3900</v>
      </c>
      <c r="H757" t="s">
        <v>153</v>
      </c>
      <c r="I757" t="s">
        <v>164</v>
      </c>
    </row>
    <row r="758" spans="1:9">
      <c r="A758" s="49">
        <v>46004</v>
      </c>
      <c r="B758" s="50">
        <v>0.7375115740740741</v>
      </c>
      <c r="C758" t="s">
        <v>167</v>
      </c>
      <c r="D758" t="s">
        <v>31</v>
      </c>
      <c r="E758" t="s">
        <v>32</v>
      </c>
      <c r="F758" t="s">
        <v>168</v>
      </c>
      <c r="G758">
        <v>3000</v>
      </c>
      <c r="H758" t="s">
        <v>153</v>
      </c>
      <c r="I758" t="s">
        <v>64</v>
      </c>
    </row>
    <row r="759" spans="1:9">
      <c r="A759" s="49">
        <v>46004</v>
      </c>
      <c r="B759" s="50">
        <v>0.7375</v>
      </c>
      <c r="C759" t="s">
        <v>150</v>
      </c>
      <c r="D759" t="s">
        <v>35</v>
      </c>
      <c r="E759" t="s">
        <v>169</v>
      </c>
      <c r="F759" t="s">
        <v>170</v>
      </c>
      <c r="G759">
        <v>-1610</v>
      </c>
      <c r="H759" t="s">
        <v>153</v>
      </c>
      <c r="I759" t="s">
        <v>171</v>
      </c>
    </row>
    <row r="760" spans="1:9">
      <c r="A760" s="49">
        <v>46004</v>
      </c>
      <c r="B760" s="50">
        <v>0.733125</v>
      </c>
      <c r="C760" t="s">
        <v>150</v>
      </c>
      <c r="D760" t="s">
        <v>40</v>
      </c>
      <c r="E760" t="s">
        <v>172</v>
      </c>
      <c r="F760" t="s">
        <v>173</v>
      </c>
      <c r="G760">
        <v>-3000</v>
      </c>
      <c r="H760" t="s">
        <v>153</v>
      </c>
      <c r="I760" t="s">
        <v>64</v>
      </c>
    </row>
    <row r="761" spans="1:9">
      <c r="A761" s="49">
        <v>46004</v>
      </c>
      <c r="B761" s="50">
        <v>0.733125</v>
      </c>
      <c r="C761" t="s">
        <v>150</v>
      </c>
      <c r="D761" t="s">
        <v>35</v>
      </c>
      <c r="E761" t="s">
        <v>169</v>
      </c>
      <c r="F761" t="s">
        <v>170</v>
      </c>
      <c r="G761">
        <v>3000</v>
      </c>
      <c r="H761" t="s">
        <v>153</v>
      </c>
      <c r="I761" t="s">
        <v>171</v>
      </c>
    </row>
    <row r="762" spans="1:9">
      <c r="A762" s="49">
        <v>46004</v>
      </c>
      <c r="B762" s="50">
        <v>0.6024189814814814</v>
      </c>
      <c r="C762" t="s">
        <v>150</v>
      </c>
      <c r="D762" t="s">
        <v>35</v>
      </c>
      <c r="E762" t="s">
        <v>174</v>
      </c>
      <c r="F762" t="s">
        <v>314</v>
      </c>
      <c r="G762">
        <v>-30000</v>
      </c>
      <c r="H762" t="s">
        <v>153</v>
      </c>
      <c r="I762" t="s">
        <v>64</v>
      </c>
    </row>
    <row r="763" spans="1:9">
      <c r="A763" s="49">
        <v>46004</v>
      </c>
      <c r="B763" s="50">
        <v>0.6019097222222223</v>
      </c>
      <c r="C763" t="s">
        <v>155</v>
      </c>
      <c r="D763" t="s">
        <v>155</v>
      </c>
      <c r="E763" t="s">
        <v>32</v>
      </c>
      <c r="F763" t="s">
        <v>184</v>
      </c>
      <c r="G763">
        <v>55000</v>
      </c>
      <c r="H763" t="s">
        <v>153</v>
      </c>
      <c r="I763" t="s">
        <v>157</v>
      </c>
    </row>
    <row r="764" spans="1:9">
      <c r="A764" s="49">
        <v>46004</v>
      </c>
      <c r="B764" s="50">
        <v>0.4627777777777778</v>
      </c>
      <c r="C764" t="s">
        <v>150</v>
      </c>
      <c r="D764" t="s">
        <v>35</v>
      </c>
      <c r="E764" t="s">
        <v>174</v>
      </c>
      <c r="F764" t="s">
        <v>314</v>
      </c>
      <c r="G764">
        <v>-10000</v>
      </c>
      <c r="H764" t="s">
        <v>153</v>
      </c>
      <c r="I764" t="s">
        <v>64</v>
      </c>
    </row>
    <row r="765" spans="1:9">
      <c r="A765" s="49">
        <v>46004</v>
      </c>
      <c r="B765" s="50">
        <v>0.3506481481481482</v>
      </c>
      <c r="C765" t="s">
        <v>155</v>
      </c>
      <c r="D765" t="s">
        <v>158</v>
      </c>
      <c r="E765" t="s">
        <v>32</v>
      </c>
      <c r="F765" t="s">
        <v>160</v>
      </c>
      <c r="G765">
        <v>-10000</v>
      </c>
      <c r="H765" t="s">
        <v>153</v>
      </c>
      <c r="I765" t="s">
        <v>64</v>
      </c>
    </row>
    <row r="766" spans="1:9">
      <c r="A766" s="49">
        <v>46004</v>
      </c>
      <c r="B766" s="50">
        <v>0.3506481481481482</v>
      </c>
      <c r="C766" t="s">
        <v>150</v>
      </c>
      <c r="D766" t="s">
        <v>40</v>
      </c>
      <c r="E766" t="s">
        <v>380</v>
      </c>
      <c r="F766" t="s">
        <v>381</v>
      </c>
      <c r="G766">
        <v>-5000</v>
      </c>
      <c r="H766" t="s">
        <v>153</v>
      </c>
      <c r="I766" t="s">
        <v>164</v>
      </c>
    </row>
    <row r="767" spans="1:9">
      <c r="A767" s="49">
        <v>46004</v>
      </c>
      <c r="B767" s="50">
        <v>0.3506481481481482</v>
      </c>
      <c r="C767" t="s">
        <v>155</v>
      </c>
      <c r="D767" t="s">
        <v>158</v>
      </c>
      <c r="E767" t="s">
        <v>32</v>
      </c>
      <c r="F767" t="s">
        <v>159</v>
      </c>
      <c r="G767">
        <v>10000</v>
      </c>
      <c r="H767" t="s">
        <v>153</v>
      </c>
      <c r="I767" t="s">
        <v>157</v>
      </c>
    </row>
    <row r="768" spans="1:9">
      <c r="A768" s="49">
        <v>46003</v>
      </c>
      <c r="B768" s="50">
        <v>0.8935069444444445</v>
      </c>
      <c r="C768" t="s">
        <v>150</v>
      </c>
      <c r="D768" t="s">
        <v>35</v>
      </c>
      <c r="E768" t="s">
        <v>174</v>
      </c>
      <c r="F768" t="s">
        <v>314</v>
      </c>
      <c r="G768">
        <v>-30000</v>
      </c>
      <c r="H768" t="s">
        <v>153</v>
      </c>
      <c r="I768" t="s">
        <v>64</v>
      </c>
    </row>
    <row r="769" spans="1:9">
      <c r="A769" s="49">
        <v>46003</v>
      </c>
      <c r="B769" s="50">
        <v>0.8729976851851852</v>
      </c>
      <c r="C769" t="s">
        <v>150</v>
      </c>
      <c r="D769" t="s">
        <v>44</v>
      </c>
      <c r="E769" t="s">
        <v>225</v>
      </c>
      <c r="F769" t="s">
        <v>228</v>
      </c>
      <c r="G769">
        <v>-16002</v>
      </c>
      <c r="H769" t="s">
        <v>153</v>
      </c>
      <c r="I769" t="s">
        <v>214</v>
      </c>
    </row>
    <row r="770" spans="1:9">
      <c r="A770" s="49">
        <v>46003</v>
      </c>
      <c r="B770" s="50">
        <v>0.7699421296296296</v>
      </c>
      <c r="C770" t="s">
        <v>150</v>
      </c>
      <c r="D770" t="s">
        <v>37</v>
      </c>
      <c r="E770" t="s">
        <v>457</v>
      </c>
      <c r="F770" t="s">
        <v>549</v>
      </c>
      <c r="G770">
        <v>-18000</v>
      </c>
      <c r="H770" t="s">
        <v>153</v>
      </c>
      <c r="I770" t="s">
        <v>214</v>
      </c>
    </row>
    <row r="771" spans="1:9">
      <c r="A771" s="49">
        <v>46003</v>
      </c>
      <c r="B771" s="50">
        <v>0.6316898148148148</v>
      </c>
      <c r="C771" t="s">
        <v>155</v>
      </c>
      <c r="D771" t="s">
        <v>155</v>
      </c>
      <c r="E771" t="s">
        <v>32</v>
      </c>
      <c r="F771" t="s">
        <v>235</v>
      </c>
      <c r="G771">
        <v>158637</v>
      </c>
      <c r="H771" t="s">
        <v>153</v>
      </c>
      <c r="I771" t="s">
        <v>64</v>
      </c>
    </row>
    <row r="772" spans="1:9">
      <c r="A772" s="49">
        <v>46003</v>
      </c>
      <c r="B772" s="50">
        <v>0.5411342592592593</v>
      </c>
      <c r="C772" t="s">
        <v>155</v>
      </c>
      <c r="D772" t="s">
        <v>155</v>
      </c>
      <c r="E772" t="s">
        <v>32</v>
      </c>
      <c r="F772" t="s">
        <v>207</v>
      </c>
      <c r="G772">
        <v>-20000</v>
      </c>
      <c r="H772" t="s">
        <v>153</v>
      </c>
      <c r="I772" t="s">
        <v>157</v>
      </c>
    </row>
    <row r="773" spans="1:9">
      <c r="A773" s="49">
        <v>46003</v>
      </c>
      <c r="B773" s="50">
        <v>0.5411226851851851</v>
      </c>
      <c r="C773" t="s">
        <v>155</v>
      </c>
      <c r="D773" t="s">
        <v>158</v>
      </c>
      <c r="E773" t="s">
        <v>32</v>
      </c>
      <c r="F773" t="s">
        <v>160</v>
      </c>
      <c r="G773">
        <v>-13300</v>
      </c>
      <c r="H773" t="s">
        <v>153</v>
      </c>
      <c r="I773" t="s">
        <v>64</v>
      </c>
    </row>
    <row r="774" spans="1:9">
      <c r="A774" s="49">
        <v>46003</v>
      </c>
      <c r="B774" s="50">
        <v>0.5411226851851851</v>
      </c>
      <c r="C774" t="s">
        <v>155</v>
      </c>
      <c r="D774" t="s">
        <v>158</v>
      </c>
      <c r="E774" t="s">
        <v>32</v>
      </c>
      <c r="F774" t="s">
        <v>159</v>
      </c>
      <c r="G774">
        <v>13300</v>
      </c>
      <c r="H774" t="s">
        <v>153</v>
      </c>
      <c r="I774" t="s">
        <v>157</v>
      </c>
    </row>
    <row r="775" spans="1:9">
      <c r="A775" s="49">
        <v>46003</v>
      </c>
      <c r="B775" s="50">
        <v>0.5208101851851852</v>
      </c>
      <c r="C775" t="s">
        <v>150</v>
      </c>
      <c r="D775" t="s">
        <v>48</v>
      </c>
      <c r="E775" t="s">
        <v>185</v>
      </c>
      <c r="F775" t="s">
        <v>550</v>
      </c>
      <c r="G775">
        <v>-4900</v>
      </c>
      <c r="H775" t="s">
        <v>153</v>
      </c>
      <c r="I775" t="s">
        <v>214</v>
      </c>
    </row>
    <row r="776" spans="1:9">
      <c r="A776" s="49">
        <v>46003</v>
      </c>
      <c r="B776" s="50">
        <v>0.4945833333333333</v>
      </c>
      <c r="C776" t="s">
        <v>150</v>
      </c>
      <c r="D776" t="s">
        <v>36</v>
      </c>
      <c r="E776" t="s">
        <v>191</v>
      </c>
      <c r="F776" t="s">
        <v>192</v>
      </c>
      <c r="G776">
        <v>-3500</v>
      </c>
      <c r="H776" t="s">
        <v>153</v>
      </c>
      <c r="I776" t="s">
        <v>157</v>
      </c>
    </row>
    <row r="777" spans="1:9">
      <c r="A777" s="49">
        <v>46003</v>
      </c>
      <c r="B777" s="50">
        <v>0.4945717592592593</v>
      </c>
      <c r="C777" t="s">
        <v>155</v>
      </c>
      <c r="D777" t="s">
        <v>158</v>
      </c>
      <c r="E777" t="s">
        <v>32</v>
      </c>
      <c r="F777" t="s">
        <v>160</v>
      </c>
      <c r="G777">
        <v>-10000</v>
      </c>
      <c r="H777" t="s">
        <v>153</v>
      </c>
      <c r="I777" t="s">
        <v>64</v>
      </c>
    </row>
    <row r="778" spans="1:9">
      <c r="A778" s="49">
        <v>46003</v>
      </c>
      <c r="B778" s="50">
        <v>0.4945717592592593</v>
      </c>
      <c r="C778" t="s">
        <v>155</v>
      </c>
      <c r="D778" t="s">
        <v>158</v>
      </c>
      <c r="E778" t="s">
        <v>32</v>
      </c>
      <c r="F778" t="s">
        <v>159</v>
      </c>
      <c r="G778">
        <v>10000</v>
      </c>
      <c r="H778" t="s">
        <v>153</v>
      </c>
      <c r="I778" t="s">
        <v>157</v>
      </c>
    </row>
    <row r="779" spans="1:9">
      <c r="A779" s="49">
        <v>46003</v>
      </c>
      <c r="B779" s="50">
        <v>0.3752546296296296</v>
      </c>
      <c r="C779" t="s">
        <v>150</v>
      </c>
      <c r="D779" t="s">
        <v>34</v>
      </c>
      <c r="E779" t="s">
        <v>322</v>
      </c>
      <c r="F779" t="s">
        <v>323</v>
      </c>
      <c r="G779">
        <v>-109890</v>
      </c>
      <c r="H779" t="s">
        <v>153</v>
      </c>
      <c r="I779" t="s">
        <v>214</v>
      </c>
    </row>
    <row r="780" spans="1:9">
      <c r="A780" s="49">
        <v>46002</v>
      </c>
      <c r="B780" s="50">
        <v>0.8289583333333334</v>
      </c>
      <c r="C780" t="s">
        <v>150</v>
      </c>
      <c r="D780" t="s">
        <v>40</v>
      </c>
      <c r="E780" t="s">
        <v>380</v>
      </c>
      <c r="F780" t="s">
        <v>381</v>
      </c>
      <c r="G780">
        <v>-3800</v>
      </c>
      <c r="H780" t="s">
        <v>153</v>
      </c>
      <c r="I780" t="s">
        <v>164</v>
      </c>
    </row>
    <row r="781" spans="1:9">
      <c r="A781" s="49">
        <v>46002</v>
      </c>
      <c r="B781" s="50">
        <v>0.6126736111111111</v>
      </c>
      <c r="C781" t="s">
        <v>155</v>
      </c>
      <c r="D781" t="s">
        <v>158</v>
      </c>
      <c r="E781" t="s">
        <v>32</v>
      </c>
      <c r="F781" t="s">
        <v>160</v>
      </c>
      <c r="G781">
        <v>-10000</v>
      </c>
      <c r="H781" t="s">
        <v>153</v>
      </c>
      <c r="I781" t="s">
        <v>64</v>
      </c>
    </row>
    <row r="782" spans="1:9">
      <c r="A782" s="49">
        <v>46002</v>
      </c>
      <c r="B782" s="50">
        <v>0.6126736111111111</v>
      </c>
      <c r="C782" t="s">
        <v>150</v>
      </c>
      <c r="D782" t="s">
        <v>40</v>
      </c>
      <c r="E782" t="s">
        <v>380</v>
      </c>
      <c r="F782" t="s">
        <v>381</v>
      </c>
      <c r="G782">
        <v>-6000</v>
      </c>
      <c r="H782" t="s">
        <v>153</v>
      </c>
      <c r="I782" t="s">
        <v>164</v>
      </c>
    </row>
    <row r="783" spans="1:9">
      <c r="A783" s="49">
        <v>46002</v>
      </c>
      <c r="B783" s="50">
        <v>0.6126736111111111</v>
      </c>
      <c r="C783" t="s">
        <v>155</v>
      </c>
      <c r="D783" t="s">
        <v>158</v>
      </c>
      <c r="E783" t="s">
        <v>32</v>
      </c>
      <c r="F783" t="s">
        <v>159</v>
      </c>
      <c r="G783">
        <v>10000</v>
      </c>
      <c r="H783" t="s">
        <v>153</v>
      </c>
      <c r="I783" t="s">
        <v>157</v>
      </c>
    </row>
    <row r="784" spans="1:9">
      <c r="A784" s="49">
        <v>46002</v>
      </c>
      <c r="B784" s="50">
        <v>0.596400462962963</v>
      </c>
      <c r="C784" t="s">
        <v>150</v>
      </c>
      <c r="D784" t="s">
        <v>44</v>
      </c>
      <c r="E784" t="s">
        <v>162</v>
      </c>
      <c r="F784" t="s">
        <v>551</v>
      </c>
      <c r="G784">
        <v>-111300</v>
      </c>
      <c r="H784" t="s">
        <v>153</v>
      </c>
      <c r="I784" t="s">
        <v>164</v>
      </c>
    </row>
    <row r="785" spans="1:9">
      <c r="A785" s="49">
        <v>46002</v>
      </c>
      <c r="B785" s="50">
        <v>0.5963541666666666</v>
      </c>
      <c r="C785" t="s">
        <v>155</v>
      </c>
      <c r="D785" t="s">
        <v>155</v>
      </c>
      <c r="E785" t="s">
        <v>32</v>
      </c>
      <c r="F785" t="s">
        <v>160</v>
      </c>
      <c r="G785">
        <v>-76321</v>
      </c>
      <c r="H785" t="s">
        <v>153</v>
      </c>
      <c r="I785" t="s">
        <v>64</v>
      </c>
    </row>
    <row r="786" spans="1:9">
      <c r="A786" s="49">
        <v>46002</v>
      </c>
      <c r="B786" s="50">
        <v>0.3583217592592592</v>
      </c>
      <c r="C786" t="s">
        <v>150</v>
      </c>
      <c r="D786" t="s">
        <v>42</v>
      </c>
      <c r="E786" t="s">
        <v>374</v>
      </c>
      <c r="F786" t="s">
        <v>375</v>
      </c>
      <c r="G786">
        <v>-4600</v>
      </c>
      <c r="H786" t="s">
        <v>153</v>
      </c>
      <c r="I786" t="s">
        <v>214</v>
      </c>
    </row>
    <row r="787" spans="1:9">
      <c r="A787" s="49">
        <v>46001</v>
      </c>
      <c r="B787" s="50">
        <v>0.9426851851851852</v>
      </c>
      <c r="C787" t="s">
        <v>150</v>
      </c>
      <c r="D787" t="s">
        <v>40</v>
      </c>
      <c r="E787" t="s">
        <v>380</v>
      </c>
      <c r="F787" t="s">
        <v>381</v>
      </c>
      <c r="G787">
        <v>-2900</v>
      </c>
      <c r="H787" t="s">
        <v>153</v>
      </c>
      <c r="I787" t="s">
        <v>164</v>
      </c>
    </row>
    <row r="788" spans="1:9">
      <c r="A788" s="49">
        <v>46001</v>
      </c>
      <c r="B788" s="50">
        <v>0.7716898148148148</v>
      </c>
      <c r="C788" t="s">
        <v>155</v>
      </c>
      <c r="D788" t="s">
        <v>70</v>
      </c>
      <c r="E788" t="s">
        <v>32</v>
      </c>
      <c r="F788" t="s">
        <v>238</v>
      </c>
      <c r="G788">
        <v>-16850</v>
      </c>
      <c r="H788" t="s">
        <v>153</v>
      </c>
      <c r="I788" t="s">
        <v>64</v>
      </c>
    </row>
    <row r="789" spans="1:9">
      <c r="A789" s="49">
        <v>46001</v>
      </c>
      <c r="B789" s="50">
        <v>0.4933796296296296</v>
      </c>
      <c r="C789" t="s">
        <v>167</v>
      </c>
      <c r="D789" t="s">
        <v>28</v>
      </c>
      <c r="E789" t="s">
        <v>32</v>
      </c>
      <c r="F789" t="s">
        <v>243</v>
      </c>
      <c r="G789">
        <v>3613</v>
      </c>
      <c r="H789" t="s">
        <v>153</v>
      </c>
      <c r="I789" t="s">
        <v>64</v>
      </c>
    </row>
    <row r="790" spans="1:9">
      <c r="A790" s="49">
        <v>46000</v>
      </c>
      <c r="B790" s="50">
        <v>0.9930671296296296</v>
      </c>
      <c r="C790" t="s">
        <v>150</v>
      </c>
      <c r="D790" t="s">
        <v>36</v>
      </c>
      <c r="E790" t="s">
        <v>191</v>
      </c>
      <c r="F790" t="s">
        <v>192</v>
      </c>
      <c r="G790">
        <v>-69200</v>
      </c>
      <c r="H790" t="s">
        <v>153</v>
      </c>
      <c r="I790" t="s">
        <v>157</v>
      </c>
    </row>
    <row r="791" spans="1:9">
      <c r="A791" s="49">
        <v>46000</v>
      </c>
      <c r="B791" s="50">
        <v>0.9523958333333333</v>
      </c>
      <c r="C791" t="s">
        <v>150</v>
      </c>
      <c r="D791" t="s">
        <v>40</v>
      </c>
      <c r="E791" t="s">
        <v>172</v>
      </c>
      <c r="F791" t="s">
        <v>552</v>
      </c>
      <c r="G791">
        <v>-6400</v>
      </c>
      <c r="H791" t="s">
        <v>153</v>
      </c>
      <c r="I791" t="s">
        <v>164</v>
      </c>
    </row>
    <row r="792" spans="1:9">
      <c r="A792" s="49">
        <v>46000</v>
      </c>
      <c r="B792" s="50">
        <v>0.8739351851851852</v>
      </c>
      <c r="C792" t="s">
        <v>155</v>
      </c>
      <c r="D792" t="s">
        <v>155</v>
      </c>
      <c r="E792" t="s">
        <v>32</v>
      </c>
      <c r="F792" t="s">
        <v>553</v>
      </c>
      <c r="G792">
        <v>499000</v>
      </c>
      <c r="H792" t="s">
        <v>153</v>
      </c>
      <c r="I792" t="s">
        <v>64</v>
      </c>
    </row>
    <row r="793" spans="1:9">
      <c r="A793" s="49">
        <v>46000</v>
      </c>
      <c r="B793" s="50">
        <v>0.4617592592592593</v>
      </c>
      <c r="C793" t="s">
        <v>150</v>
      </c>
      <c r="D793" t="s">
        <v>42</v>
      </c>
      <c r="E793" t="s">
        <v>177</v>
      </c>
      <c r="F793" t="s">
        <v>477</v>
      </c>
      <c r="G793">
        <v>-50</v>
      </c>
      <c r="H793" t="s">
        <v>153</v>
      </c>
      <c r="I793" t="s">
        <v>214</v>
      </c>
    </row>
    <row r="794" spans="1:9">
      <c r="A794" s="49">
        <v>45999</v>
      </c>
      <c r="B794" s="50">
        <v>0.9588773148148149</v>
      </c>
      <c r="C794" t="s">
        <v>150</v>
      </c>
      <c r="D794" t="s">
        <v>40</v>
      </c>
      <c r="E794" t="s">
        <v>380</v>
      </c>
      <c r="F794" t="s">
        <v>381</v>
      </c>
      <c r="G794">
        <v>-5800</v>
      </c>
      <c r="H794" t="s">
        <v>153</v>
      </c>
      <c r="I794" t="s">
        <v>164</v>
      </c>
    </row>
    <row r="795" spans="1:9">
      <c r="A795" s="49">
        <v>45999</v>
      </c>
      <c r="B795" s="50">
        <v>0.9516898148148148</v>
      </c>
      <c r="C795" t="s">
        <v>155</v>
      </c>
      <c r="D795" t="s">
        <v>155</v>
      </c>
      <c r="E795" t="s">
        <v>32</v>
      </c>
      <c r="F795" t="s">
        <v>548</v>
      </c>
      <c r="G795">
        <v>390000</v>
      </c>
      <c r="H795" t="s">
        <v>153</v>
      </c>
      <c r="I795" t="s">
        <v>64</v>
      </c>
    </row>
    <row r="796" spans="1:9">
      <c r="A796" s="49">
        <v>45999</v>
      </c>
      <c r="B796" s="50">
        <v>0.7452430555555556</v>
      </c>
      <c r="C796" t="s">
        <v>155</v>
      </c>
      <c r="D796" t="s">
        <v>155</v>
      </c>
      <c r="E796" t="s">
        <v>32</v>
      </c>
      <c r="F796" t="s">
        <v>554</v>
      </c>
      <c r="G796">
        <v>499000</v>
      </c>
      <c r="H796" t="s">
        <v>153</v>
      </c>
      <c r="I796" t="s">
        <v>64</v>
      </c>
    </row>
    <row r="797" spans="1:9">
      <c r="A797" s="49">
        <v>45999</v>
      </c>
      <c r="B797" s="50">
        <v>0.5694328703703704</v>
      </c>
      <c r="C797" t="s">
        <v>155</v>
      </c>
      <c r="D797" t="s">
        <v>158</v>
      </c>
      <c r="E797" t="s">
        <v>32</v>
      </c>
      <c r="F797" t="s">
        <v>7</v>
      </c>
      <c r="G797">
        <v>210000</v>
      </c>
      <c r="H797" t="s">
        <v>153</v>
      </c>
      <c r="I797" t="s">
        <v>64</v>
      </c>
    </row>
    <row r="798" spans="1:9">
      <c r="A798" s="49">
        <v>45999</v>
      </c>
      <c r="B798" s="50">
        <v>0.5685069444444445</v>
      </c>
      <c r="C798" t="s">
        <v>150</v>
      </c>
      <c r="D798" t="s">
        <v>44</v>
      </c>
      <c r="E798" t="s">
        <v>260</v>
      </c>
      <c r="F798" t="s">
        <v>261</v>
      </c>
      <c r="G798">
        <v>-210000</v>
      </c>
      <c r="H798" t="s">
        <v>153</v>
      </c>
      <c r="I798" t="s">
        <v>64</v>
      </c>
    </row>
    <row r="799" spans="1:9">
      <c r="A799" s="49">
        <v>45999</v>
      </c>
      <c r="B799" s="50">
        <v>0.3563657407407407</v>
      </c>
      <c r="C799" t="s">
        <v>150</v>
      </c>
      <c r="D799" t="s">
        <v>42</v>
      </c>
      <c r="E799" t="s">
        <v>374</v>
      </c>
      <c r="F799" t="s">
        <v>375</v>
      </c>
      <c r="G799">
        <v>-2600</v>
      </c>
      <c r="H799" t="s">
        <v>153</v>
      </c>
      <c r="I799" t="s">
        <v>214</v>
      </c>
    </row>
    <row r="800" spans="1:9">
      <c r="A800" s="49">
        <v>45998</v>
      </c>
      <c r="B800" s="50">
        <v>0.7939236111111111</v>
      </c>
      <c r="C800" t="s">
        <v>150</v>
      </c>
      <c r="D800" t="s">
        <v>44</v>
      </c>
      <c r="E800" t="s">
        <v>162</v>
      </c>
      <c r="F800" t="s">
        <v>283</v>
      </c>
      <c r="G800">
        <v>-5800</v>
      </c>
      <c r="H800" t="s">
        <v>153</v>
      </c>
      <c r="I800" t="s">
        <v>164</v>
      </c>
    </row>
    <row r="801" spans="1:9">
      <c r="A801" s="49">
        <v>45998</v>
      </c>
      <c r="B801" s="50">
        <v>0.7433101851851852</v>
      </c>
      <c r="C801" t="s">
        <v>150</v>
      </c>
      <c r="D801" t="s">
        <v>44</v>
      </c>
      <c r="E801" t="s">
        <v>162</v>
      </c>
      <c r="F801" t="s">
        <v>283</v>
      </c>
      <c r="G801">
        <v>-4700</v>
      </c>
      <c r="H801" t="s">
        <v>153</v>
      </c>
      <c r="I801" t="s">
        <v>164</v>
      </c>
    </row>
    <row r="802" spans="1:9">
      <c r="A802" s="49">
        <v>45998</v>
      </c>
      <c r="B802" s="50">
        <v>0.4203819444444444</v>
      </c>
      <c r="C802" t="s">
        <v>150</v>
      </c>
      <c r="D802" t="s">
        <v>40</v>
      </c>
      <c r="E802" t="s">
        <v>380</v>
      </c>
      <c r="F802" t="s">
        <v>381</v>
      </c>
      <c r="G802">
        <v>-900</v>
      </c>
      <c r="H802" t="s">
        <v>153</v>
      </c>
      <c r="I802" t="s">
        <v>164</v>
      </c>
    </row>
    <row r="803" spans="1:9">
      <c r="A803" s="49">
        <v>45997</v>
      </c>
      <c r="B803" s="50">
        <v>0.9152314814814815</v>
      </c>
      <c r="C803" t="s">
        <v>150</v>
      </c>
      <c r="D803" t="s">
        <v>40</v>
      </c>
      <c r="E803" t="s">
        <v>380</v>
      </c>
      <c r="F803" t="s">
        <v>381</v>
      </c>
      <c r="G803">
        <v>-5000</v>
      </c>
      <c r="H803" t="s">
        <v>153</v>
      </c>
      <c r="I803" t="s">
        <v>164</v>
      </c>
    </row>
    <row r="804" spans="1:9">
      <c r="A804" s="49">
        <v>45997</v>
      </c>
      <c r="B804" s="50">
        <v>0.5311111111111111</v>
      </c>
      <c r="C804" t="s">
        <v>150</v>
      </c>
      <c r="D804" t="s">
        <v>44</v>
      </c>
      <c r="E804" t="s">
        <v>315</v>
      </c>
      <c r="F804" t="s">
        <v>316</v>
      </c>
      <c r="G804">
        <v>-2500</v>
      </c>
      <c r="H804" t="s">
        <v>153</v>
      </c>
      <c r="I804" t="s">
        <v>164</v>
      </c>
    </row>
    <row r="805" spans="1:9">
      <c r="A805" s="49">
        <v>45996</v>
      </c>
      <c r="B805" s="50">
        <v>0.9295486111111111</v>
      </c>
      <c r="C805" t="s">
        <v>155</v>
      </c>
      <c r="D805" t="s">
        <v>155</v>
      </c>
      <c r="E805" t="s">
        <v>32</v>
      </c>
      <c r="F805" t="s">
        <v>555</v>
      </c>
      <c r="G805">
        <v>499000</v>
      </c>
      <c r="H805" t="s">
        <v>153</v>
      </c>
      <c r="I805" t="s">
        <v>64</v>
      </c>
    </row>
    <row r="806" spans="1:9">
      <c r="A806" s="49">
        <v>45996</v>
      </c>
      <c r="B806" s="50">
        <v>0.892824074074074</v>
      </c>
      <c r="C806" t="s">
        <v>155</v>
      </c>
      <c r="D806" t="s">
        <v>155</v>
      </c>
      <c r="E806" t="s">
        <v>32</v>
      </c>
      <c r="F806" t="s">
        <v>556</v>
      </c>
      <c r="G806">
        <v>499000</v>
      </c>
      <c r="H806" t="s">
        <v>153</v>
      </c>
      <c r="I806" t="s">
        <v>64</v>
      </c>
    </row>
    <row r="807" spans="1:9">
      <c r="A807" s="49">
        <v>45996</v>
      </c>
      <c r="B807" s="50">
        <v>0.8449189814814815</v>
      </c>
      <c r="C807" t="s">
        <v>150</v>
      </c>
      <c r="D807" t="s">
        <v>40</v>
      </c>
      <c r="E807" t="s">
        <v>172</v>
      </c>
      <c r="F807" t="s">
        <v>173</v>
      </c>
      <c r="G807">
        <v>-14133</v>
      </c>
      <c r="H807" t="s">
        <v>153</v>
      </c>
      <c r="I807" t="s">
        <v>64</v>
      </c>
    </row>
    <row r="808" spans="1:9">
      <c r="A808" s="49">
        <v>45996</v>
      </c>
      <c r="B808" s="50">
        <v>0.4022337962962963</v>
      </c>
      <c r="C808" t="s">
        <v>150</v>
      </c>
      <c r="D808" t="s">
        <v>44</v>
      </c>
      <c r="E808" t="s">
        <v>162</v>
      </c>
      <c r="F808" t="s">
        <v>163</v>
      </c>
      <c r="G808">
        <v>-3500</v>
      </c>
      <c r="H808" t="s">
        <v>153</v>
      </c>
      <c r="I808" t="s">
        <v>164</v>
      </c>
    </row>
    <row r="809" spans="1:9">
      <c r="A809" s="49">
        <v>45996</v>
      </c>
      <c r="B809" s="50">
        <v>0.3946990740740741</v>
      </c>
      <c r="C809" t="s">
        <v>150</v>
      </c>
      <c r="D809" t="s">
        <v>44</v>
      </c>
      <c r="E809" t="s">
        <v>162</v>
      </c>
      <c r="F809" t="s">
        <v>163</v>
      </c>
      <c r="G809">
        <v>-1900</v>
      </c>
      <c r="H809" t="s">
        <v>153</v>
      </c>
      <c r="I809" t="s">
        <v>164</v>
      </c>
    </row>
    <row r="810" spans="1:9">
      <c r="A810" s="49">
        <v>45996</v>
      </c>
      <c r="B810" s="50">
        <v>0.3662384259259259</v>
      </c>
      <c r="C810" t="s">
        <v>150</v>
      </c>
      <c r="D810" t="s">
        <v>42</v>
      </c>
      <c r="E810" t="s">
        <v>374</v>
      </c>
      <c r="F810" t="s">
        <v>375</v>
      </c>
      <c r="G810">
        <v>-4600</v>
      </c>
      <c r="H810" t="s">
        <v>153</v>
      </c>
      <c r="I810" t="s">
        <v>214</v>
      </c>
    </row>
    <row r="811" spans="1:9">
      <c r="A811" s="49">
        <v>45996</v>
      </c>
      <c r="B811" s="50">
        <v>0.2556018518518519</v>
      </c>
      <c r="C811" t="s">
        <v>150</v>
      </c>
      <c r="D811" t="s">
        <v>35</v>
      </c>
      <c r="E811" t="s">
        <v>169</v>
      </c>
      <c r="F811" t="s">
        <v>557</v>
      </c>
      <c r="G811">
        <v>-13200</v>
      </c>
      <c r="H811" t="s">
        <v>153</v>
      </c>
      <c r="I811" t="s">
        <v>214</v>
      </c>
    </row>
    <row r="812" spans="1:9">
      <c r="A812" s="49">
        <v>45996</v>
      </c>
      <c r="B812" s="50">
        <v>0.2556018518518519</v>
      </c>
      <c r="C812" t="s">
        <v>150</v>
      </c>
      <c r="D812" t="s">
        <v>35</v>
      </c>
      <c r="E812" t="s">
        <v>482</v>
      </c>
      <c r="F812" t="s">
        <v>558</v>
      </c>
      <c r="G812">
        <v>-3650</v>
      </c>
      <c r="H812" t="s">
        <v>153</v>
      </c>
      <c r="I812" t="s">
        <v>214</v>
      </c>
    </row>
    <row r="813" spans="1:9">
      <c r="A813" s="49">
        <v>45995</v>
      </c>
      <c r="B813" s="50">
        <v>0.9721875</v>
      </c>
      <c r="C813" t="s">
        <v>155</v>
      </c>
      <c r="D813" t="s">
        <v>155</v>
      </c>
      <c r="E813" t="s">
        <v>32</v>
      </c>
      <c r="F813" t="s">
        <v>559</v>
      </c>
      <c r="G813">
        <v>-780000</v>
      </c>
      <c r="H813" t="s">
        <v>153</v>
      </c>
      <c r="I813" t="s">
        <v>64</v>
      </c>
    </row>
    <row r="814" spans="1:9">
      <c r="A814" s="49">
        <v>45995</v>
      </c>
      <c r="B814" s="50">
        <v>0.5681944444444444</v>
      </c>
      <c r="C814" t="s">
        <v>150</v>
      </c>
      <c r="D814" t="s">
        <v>44</v>
      </c>
      <c r="E814" t="s">
        <v>162</v>
      </c>
      <c r="F814" t="s">
        <v>163</v>
      </c>
      <c r="G814">
        <v>-3500</v>
      </c>
      <c r="H814" t="s">
        <v>153</v>
      </c>
      <c r="I814" t="s">
        <v>164</v>
      </c>
    </row>
    <row r="815" spans="1:9">
      <c r="A815" s="49">
        <v>45995</v>
      </c>
      <c r="B815" s="50">
        <v>0.5039814814814815</v>
      </c>
      <c r="C815" t="s">
        <v>150</v>
      </c>
      <c r="D815" t="s">
        <v>42</v>
      </c>
      <c r="E815" t="s">
        <v>374</v>
      </c>
      <c r="F815" t="s">
        <v>375</v>
      </c>
      <c r="G815">
        <v>-40000</v>
      </c>
      <c r="H815" t="s">
        <v>153</v>
      </c>
      <c r="I815" t="s">
        <v>214</v>
      </c>
    </row>
    <row r="816" spans="1:9">
      <c r="A816" s="49">
        <v>45995</v>
      </c>
      <c r="B816" s="50">
        <v>0.4463773148148148</v>
      </c>
      <c r="C816" t="s">
        <v>150</v>
      </c>
      <c r="D816" t="s">
        <v>44</v>
      </c>
      <c r="E816" t="s">
        <v>225</v>
      </c>
      <c r="F816" t="s">
        <v>372</v>
      </c>
      <c r="G816">
        <v>-7890</v>
      </c>
      <c r="H816" t="s">
        <v>153</v>
      </c>
      <c r="I816" t="s">
        <v>64</v>
      </c>
    </row>
    <row r="817" spans="1:9">
      <c r="A817" s="49">
        <v>45994</v>
      </c>
      <c r="B817" s="50">
        <v>0.6908912037037037</v>
      </c>
      <c r="C817" t="s">
        <v>150</v>
      </c>
      <c r="D817" t="s">
        <v>45</v>
      </c>
      <c r="E817" t="s">
        <v>560</v>
      </c>
      <c r="F817" t="s">
        <v>561</v>
      </c>
      <c r="G817">
        <v>-17100</v>
      </c>
      <c r="H817" t="s">
        <v>153</v>
      </c>
      <c r="I817" t="s">
        <v>214</v>
      </c>
    </row>
    <row r="818" spans="1:9">
      <c r="A818" s="49">
        <v>45994</v>
      </c>
      <c r="B818" s="50">
        <v>0.6323611111111112</v>
      </c>
      <c r="C818" t="s">
        <v>150</v>
      </c>
      <c r="D818" t="s">
        <v>48</v>
      </c>
      <c r="E818" t="s">
        <v>185</v>
      </c>
      <c r="F818" t="s">
        <v>562</v>
      </c>
      <c r="G818">
        <v>-2500</v>
      </c>
      <c r="H818" t="s">
        <v>153</v>
      </c>
      <c r="I818" t="s">
        <v>214</v>
      </c>
    </row>
    <row r="819" spans="1:9">
      <c r="A819" s="49">
        <v>45994</v>
      </c>
      <c r="B819" s="50">
        <v>0.5175578703703704</v>
      </c>
      <c r="C819" t="s">
        <v>150</v>
      </c>
      <c r="D819" t="s">
        <v>35</v>
      </c>
      <c r="E819" t="s">
        <v>169</v>
      </c>
      <c r="F819" t="s">
        <v>563</v>
      </c>
      <c r="G819">
        <v>-2280</v>
      </c>
      <c r="H819" t="s">
        <v>153</v>
      </c>
      <c r="I819" t="s">
        <v>164</v>
      </c>
    </row>
    <row r="820" spans="1:9">
      <c r="A820" s="49">
        <v>45993</v>
      </c>
      <c r="B820" s="50">
        <v>0.7651736111111112</v>
      </c>
      <c r="C820" t="s">
        <v>150</v>
      </c>
      <c r="D820" t="s">
        <v>42</v>
      </c>
      <c r="E820" t="s">
        <v>177</v>
      </c>
      <c r="F820" t="s">
        <v>537</v>
      </c>
      <c r="G820">
        <v>-68000</v>
      </c>
      <c r="H820" t="s">
        <v>153</v>
      </c>
      <c r="I820" t="s">
        <v>214</v>
      </c>
    </row>
    <row r="821" spans="1:9">
      <c r="A821" s="49">
        <v>45993</v>
      </c>
      <c r="B821" s="50">
        <v>0.6780787037037037</v>
      </c>
      <c r="C821" t="s">
        <v>150</v>
      </c>
      <c r="D821" t="s">
        <v>45</v>
      </c>
      <c r="E821" t="s">
        <v>415</v>
      </c>
      <c r="F821" t="s">
        <v>416</v>
      </c>
      <c r="G821">
        <v>-1400</v>
      </c>
      <c r="H821" t="s">
        <v>153</v>
      </c>
      <c r="I821" t="s">
        <v>214</v>
      </c>
    </row>
    <row r="822" spans="1:9">
      <c r="A822" s="49">
        <v>45993</v>
      </c>
      <c r="B822" s="50">
        <v>0.659537037037037</v>
      </c>
      <c r="C822" t="s">
        <v>150</v>
      </c>
      <c r="D822" t="s">
        <v>44</v>
      </c>
      <c r="E822" t="s">
        <v>225</v>
      </c>
      <c r="F822" t="s">
        <v>507</v>
      </c>
      <c r="G822">
        <v>-31373</v>
      </c>
      <c r="H822" t="s">
        <v>153</v>
      </c>
      <c r="I822" t="s">
        <v>214</v>
      </c>
    </row>
    <row r="823" spans="1:9">
      <c r="A823" s="49">
        <v>45993</v>
      </c>
      <c r="B823" s="50">
        <v>0.6246643518518519</v>
      </c>
      <c r="C823" t="s">
        <v>155</v>
      </c>
      <c r="D823" t="s">
        <v>155</v>
      </c>
      <c r="E823" t="s">
        <v>32</v>
      </c>
      <c r="F823" t="s">
        <v>564</v>
      </c>
      <c r="G823">
        <v>-2750</v>
      </c>
      <c r="H823" t="s">
        <v>153</v>
      </c>
      <c r="I823" t="s">
        <v>64</v>
      </c>
    </row>
    <row r="824" spans="1:9">
      <c r="A824" s="49">
        <v>45993</v>
      </c>
      <c r="B824" s="50">
        <v>0.4806828703703704</v>
      </c>
      <c r="C824" t="s">
        <v>150</v>
      </c>
      <c r="D824" t="s">
        <v>35</v>
      </c>
      <c r="E824" t="s">
        <v>169</v>
      </c>
      <c r="F824" t="s">
        <v>170</v>
      </c>
      <c r="G824">
        <v>-4900</v>
      </c>
      <c r="H824" t="s">
        <v>153</v>
      </c>
      <c r="I824" t="s">
        <v>171</v>
      </c>
    </row>
    <row r="825" spans="1:9">
      <c r="A825" s="49">
        <v>45993</v>
      </c>
      <c r="B825" s="50">
        <v>0.4798958333333334</v>
      </c>
      <c r="C825" t="s">
        <v>155</v>
      </c>
      <c r="D825" t="s">
        <v>229</v>
      </c>
      <c r="E825" t="s">
        <v>32</v>
      </c>
      <c r="F825" t="s">
        <v>565</v>
      </c>
      <c r="G825">
        <v>62400</v>
      </c>
      <c r="H825" t="s">
        <v>153</v>
      </c>
      <c r="I825" t="s">
        <v>64</v>
      </c>
    </row>
    <row r="826" spans="1:9">
      <c r="A826" s="49">
        <v>45993</v>
      </c>
      <c r="B826" s="50">
        <v>0.4778703703703704</v>
      </c>
      <c r="C826" t="s">
        <v>150</v>
      </c>
      <c r="D826" t="s">
        <v>48</v>
      </c>
      <c r="E826" t="s">
        <v>566</v>
      </c>
      <c r="F826" t="s">
        <v>567</v>
      </c>
      <c r="G826">
        <v>-19200</v>
      </c>
      <c r="H826" t="s">
        <v>153</v>
      </c>
      <c r="I826" t="s">
        <v>214</v>
      </c>
    </row>
    <row r="827" spans="1:9">
      <c r="A827" s="49">
        <v>45992</v>
      </c>
      <c r="B827" s="50">
        <v>0.8306365740740741</v>
      </c>
      <c r="C827" t="s">
        <v>150</v>
      </c>
      <c r="D827" t="s">
        <v>48</v>
      </c>
      <c r="E827" t="s">
        <v>185</v>
      </c>
      <c r="F827" t="s">
        <v>568</v>
      </c>
      <c r="G827">
        <v>140790</v>
      </c>
      <c r="H827" t="s">
        <v>153</v>
      </c>
      <c r="I827" t="s">
        <v>164</v>
      </c>
    </row>
    <row r="828" spans="1:9">
      <c r="A828" s="49">
        <v>45992</v>
      </c>
      <c r="B828" s="50">
        <v>0.7609606481481481</v>
      </c>
      <c r="C828" t="s">
        <v>155</v>
      </c>
      <c r="D828" t="s">
        <v>155</v>
      </c>
      <c r="E828" t="s">
        <v>32</v>
      </c>
      <c r="F828" t="s">
        <v>569</v>
      </c>
      <c r="G828">
        <v>499000</v>
      </c>
      <c r="H828" t="s">
        <v>153</v>
      </c>
      <c r="I828" t="s">
        <v>64</v>
      </c>
    </row>
    <row r="829" spans="1:9">
      <c r="A829" s="49">
        <v>45992</v>
      </c>
      <c r="B829" s="50">
        <v>0.5672453703703704</v>
      </c>
      <c r="C829" t="s">
        <v>150</v>
      </c>
      <c r="D829" t="s">
        <v>48</v>
      </c>
      <c r="E829" t="s">
        <v>566</v>
      </c>
      <c r="F829" t="s">
        <v>570</v>
      </c>
      <c r="G829">
        <v>-20800</v>
      </c>
      <c r="H829" t="s">
        <v>153</v>
      </c>
      <c r="I829" t="s">
        <v>214</v>
      </c>
    </row>
    <row r="830" spans="1:9">
      <c r="A830" s="49">
        <v>45992</v>
      </c>
      <c r="B830" s="50">
        <v>0.1398842592592593</v>
      </c>
      <c r="C830" t="s">
        <v>167</v>
      </c>
      <c r="D830" t="s">
        <v>28</v>
      </c>
      <c r="E830" t="s">
        <v>32</v>
      </c>
      <c r="F830" t="s">
        <v>274</v>
      </c>
      <c r="G830">
        <v>0</v>
      </c>
      <c r="H830" t="s">
        <v>153</v>
      </c>
      <c r="I830" t="s">
        <v>61</v>
      </c>
    </row>
    <row r="831" spans="1:9">
      <c r="A831" s="49">
        <v>45991</v>
      </c>
      <c r="B831" s="50">
        <v>0.832662037037037</v>
      </c>
      <c r="C831" t="s">
        <v>150</v>
      </c>
      <c r="D831" t="s">
        <v>40</v>
      </c>
      <c r="E831" t="s">
        <v>172</v>
      </c>
      <c r="F831" t="s">
        <v>405</v>
      </c>
      <c r="G831">
        <v>-790</v>
      </c>
      <c r="H831" t="s">
        <v>153</v>
      </c>
      <c r="I831" t="s">
        <v>164</v>
      </c>
    </row>
    <row r="832" spans="1:9">
      <c r="A832" s="49">
        <v>45991</v>
      </c>
      <c r="B832" s="50">
        <v>0.8316666666666667</v>
      </c>
      <c r="C832" t="s">
        <v>150</v>
      </c>
      <c r="D832" t="s">
        <v>40</v>
      </c>
      <c r="E832" t="s">
        <v>172</v>
      </c>
      <c r="F832" t="s">
        <v>405</v>
      </c>
      <c r="G832">
        <v>0</v>
      </c>
      <c r="H832" t="s">
        <v>153</v>
      </c>
      <c r="I832" t="s">
        <v>164</v>
      </c>
    </row>
    <row r="833" spans="1:9">
      <c r="A833" s="49">
        <v>45991</v>
      </c>
      <c r="B833" s="50">
        <v>0.8207291666666666</v>
      </c>
      <c r="C833" t="s">
        <v>150</v>
      </c>
      <c r="D833" t="s">
        <v>40</v>
      </c>
      <c r="E833" t="s">
        <v>172</v>
      </c>
      <c r="F833" t="s">
        <v>571</v>
      </c>
      <c r="G833">
        <v>-1000</v>
      </c>
      <c r="H833" t="s">
        <v>153</v>
      </c>
      <c r="I833" t="s">
        <v>214</v>
      </c>
    </row>
    <row r="834" spans="1:9">
      <c r="A834" s="49">
        <v>45991</v>
      </c>
      <c r="B834" s="50">
        <v>0.8191782407407407</v>
      </c>
      <c r="C834" t="s">
        <v>150</v>
      </c>
      <c r="D834" t="s">
        <v>35</v>
      </c>
      <c r="E834" t="s">
        <v>174</v>
      </c>
      <c r="F834" t="s">
        <v>314</v>
      </c>
      <c r="G834">
        <v>-10000</v>
      </c>
      <c r="H834" t="s">
        <v>153</v>
      </c>
      <c r="I834" t="s">
        <v>64</v>
      </c>
    </row>
    <row r="835" spans="1:9">
      <c r="A835" s="49">
        <v>45991</v>
      </c>
      <c r="B835" s="50">
        <v>0.8185300925925926</v>
      </c>
      <c r="C835" t="s">
        <v>150</v>
      </c>
      <c r="D835" t="s">
        <v>42</v>
      </c>
      <c r="E835" t="s">
        <v>463</v>
      </c>
      <c r="F835" t="s">
        <v>464</v>
      </c>
      <c r="G835">
        <v>-69000</v>
      </c>
      <c r="H835" t="s">
        <v>153</v>
      </c>
      <c r="I835" t="s">
        <v>214</v>
      </c>
    </row>
    <row r="836" spans="1:9">
      <c r="A836" s="49">
        <v>45991</v>
      </c>
      <c r="B836" s="50">
        <v>0.7867824074074075</v>
      </c>
      <c r="C836" t="s">
        <v>167</v>
      </c>
      <c r="D836" t="s">
        <v>31</v>
      </c>
      <c r="E836" t="s">
        <v>32</v>
      </c>
      <c r="F836" t="s">
        <v>168</v>
      </c>
      <c r="G836">
        <v>3000</v>
      </c>
      <c r="H836" t="s">
        <v>153</v>
      </c>
      <c r="I836" t="s">
        <v>64</v>
      </c>
    </row>
    <row r="837" spans="1:9">
      <c r="A837" s="49">
        <v>45991</v>
      </c>
      <c r="B837" s="50">
        <v>0.7865740740740741</v>
      </c>
      <c r="C837" t="s">
        <v>150</v>
      </c>
      <c r="D837" t="s">
        <v>35</v>
      </c>
      <c r="E837" t="s">
        <v>169</v>
      </c>
      <c r="F837" t="s">
        <v>170</v>
      </c>
      <c r="G837">
        <v>-1380</v>
      </c>
      <c r="H837" t="s">
        <v>153</v>
      </c>
      <c r="I837" t="s">
        <v>171</v>
      </c>
    </row>
    <row r="838" spans="1:9">
      <c r="A838" s="49">
        <v>45991</v>
      </c>
      <c r="B838" s="50">
        <v>0.7829166666666667</v>
      </c>
      <c r="C838" t="s">
        <v>150</v>
      </c>
      <c r="D838" t="s">
        <v>40</v>
      </c>
      <c r="E838" t="s">
        <v>172</v>
      </c>
      <c r="F838" t="s">
        <v>173</v>
      </c>
      <c r="G838">
        <v>-3000</v>
      </c>
      <c r="H838" t="s">
        <v>153</v>
      </c>
      <c r="I838" t="s">
        <v>64</v>
      </c>
    </row>
    <row r="839" spans="1:9">
      <c r="A839" s="49">
        <v>45991</v>
      </c>
      <c r="B839" s="50">
        <v>0.7829166666666667</v>
      </c>
      <c r="C839" t="s">
        <v>150</v>
      </c>
      <c r="D839" t="s">
        <v>35</v>
      </c>
      <c r="E839" t="s">
        <v>169</v>
      </c>
      <c r="F839" t="s">
        <v>170</v>
      </c>
      <c r="G839">
        <v>3000</v>
      </c>
      <c r="H839" t="s">
        <v>153</v>
      </c>
      <c r="I839" t="s">
        <v>171</v>
      </c>
    </row>
    <row r="840" spans="1:9">
      <c r="A840" s="49">
        <v>45991</v>
      </c>
      <c r="B840" s="50">
        <v>0.7480439814814814</v>
      </c>
      <c r="C840" t="s">
        <v>155</v>
      </c>
      <c r="D840" t="s">
        <v>158</v>
      </c>
      <c r="E840" t="s">
        <v>32</v>
      </c>
      <c r="F840" t="s">
        <v>160</v>
      </c>
      <c r="G840">
        <v>-10000</v>
      </c>
      <c r="H840" t="s">
        <v>153</v>
      </c>
      <c r="I840" t="s">
        <v>64</v>
      </c>
    </row>
    <row r="841" spans="1:9">
      <c r="A841" s="49">
        <v>45991</v>
      </c>
      <c r="B841" s="50">
        <v>0.7480439814814814</v>
      </c>
      <c r="C841" t="s">
        <v>150</v>
      </c>
      <c r="D841" t="s">
        <v>40</v>
      </c>
      <c r="E841" t="s">
        <v>380</v>
      </c>
      <c r="F841" t="s">
        <v>381</v>
      </c>
      <c r="G841">
        <v>-2300</v>
      </c>
      <c r="H841" t="s">
        <v>153</v>
      </c>
      <c r="I841" t="s">
        <v>164</v>
      </c>
    </row>
    <row r="842" spans="1:9">
      <c r="A842" s="49">
        <v>45991</v>
      </c>
      <c r="B842" s="50">
        <v>0.7480439814814814</v>
      </c>
      <c r="C842" t="s">
        <v>155</v>
      </c>
      <c r="D842" t="s">
        <v>158</v>
      </c>
      <c r="E842" t="s">
        <v>32</v>
      </c>
      <c r="F842" t="s">
        <v>159</v>
      </c>
      <c r="G842">
        <v>10000</v>
      </c>
      <c r="H842" t="s">
        <v>153</v>
      </c>
      <c r="I842" t="s">
        <v>157</v>
      </c>
    </row>
    <row r="843" spans="1:9">
      <c r="A843" s="49">
        <v>45991</v>
      </c>
      <c r="B843" s="50">
        <v>0.3718981481481481</v>
      </c>
      <c r="C843" t="s">
        <v>155</v>
      </c>
      <c r="D843" t="s">
        <v>155</v>
      </c>
      <c r="E843" t="s">
        <v>32</v>
      </c>
      <c r="F843" t="s">
        <v>246</v>
      </c>
      <c r="G843">
        <v>-100000</v>
      </c>
      <c r="H843" t="s">
        <v>153</v>
      </c>
      <c r="I843" t="s">
        <v>64</v>
      </c>
    </row>
    <row r="844" spans="1:9">
      <c r="A844" s="49">
        <v>45991</v>
      </c>
      <c r="B844" s="50">
        <v>0.2600462962962963</v>
      </c>
      <c r="C844" t="s">
        <v>150</v>
      </c>
      <c r="D844" t="s">
        <v>35</v>
      </c>
      <c r="E844" t="s">
        <v>169</v>
      </c>
      <c r="F844" t="s">
        <v>563</v>
      </c>
      <c r="G844">
        <v>-2100</v>
      </c>
      <c r="H844" t="s">
        <v>153</v>
      </c>
      <c r="I844" t="s">
        <v>164</v>
      </c>
    </row>
    <row r="845" spans="1:9">
      <c r="A845" s="49">
        <v>45990</v>
      </c>
      <c r="B845" s="50">
        <v>0.5655671296296296</v>
      </c>
      <c r="C845" t="s">
        <v>150</v>
      </c>
      <c r="D845" t="s">
        <v>44</v>
      </c>
      <c r="E845" t="s">
        <v>225</v>
      </c>
      <c r="F845" t="s">
        <v>395</v>
      </c>
      <c r="G845">
        <v>-14900</v>
      </c>
      <c r="H845" t="s">
        <v>153</v>
      </c>
      <c r="I845" t="s">
        <v>171</v>
      </c>
    </row>
    <row r="846" spans="1:9">
      <c r="A846" s="49">
        <v>45990</v>
      </c>
      <c r="B846" s="50">
        <v>0.5289930555555555</v>
      </c>
      <c r="C846" t="s">
        <v>167</v>
      </c>
      <c r="D846" t="s">
        <v>31</v>
      </c>
      <c r="E846" t="s">
        <v>32</v>
      </c>
      <c r="F846" t="s">
        <v>168</v>
      </c>
      <c r="G846">
        <v>3000</v>
      </c>
      <c r="H846" t="s">
        <v>153</v>
      </c>
      <c r="I846" t="s">
        <v>64</v>
      </c>
    </row>
    <row r="847" spans="1:9">
      <c r="A847" s="49">
        <v>45990</v>
      </c>
      <c r="B847" s="50">
        <v>0.5289236111111111</v>
      </c>
      <c r="C847" t="s">
        <v>150</v>
      </c>
      <c r="D847" t="s">
        <v>35</v>
      </c>
      <c r="E847" t="s">
        <v>169</v>
      </c>
      <c r="F847" t="s">
        <v>170</v>
      </c>
      <c r="G847">
        <v>-1840</v>
      </c>
      <c r="H847" t="s">
        <v>153</v>
      </c>
      <c r="I847" t="s">
        <v>171</v>
      </c>
    </row>
    <row r="848" spans="1:9">
      <c r="A848" s="49">
        <v>45990</v>
      </c>
      <c r="B848" s="50">
        <v>0.5239930555555555</v>
      </c>
      <c r="C848" t="s">
        <v>150</v>
      </c>
      <c r="D848" t="s">
        <v>35</v>
      </c>
      <c r="E848" t="s">
        <v>169</v>
      </c>
      <c r="F848" t="s">
        <v>170</v>
      </c>
      <c r="G848">
        <v>3000</v>
      </c>
      <c r="H848" t="s">
        <v>153</v>
      </c>
      <c r="I848" t="s">
        <v>171</v>
      </c>
    </row>
    <row r="849" spans="1:9">
      <c r="A849" s="49">
        <v>45990</v>
      </c>
      <c r="B849" s="50">
        <v>0.5239814814814815</v>
      </c>
      <c r="C849" t="s">
        <v>150</v>
      </c>
      <c r="D849" t="s">
        <v>40</v>
      </c>
      <c r="E849" t="s">
        <v>172</v>
      </c>
      <c r="F849" t="s">
        <v>173</v>
      </c>
      <c r="G849">
        <v>-3000</v>
      </c>
      <c r="H849" t="s">
        <v>153</v>
      </c>
      <c r="I849" t="s">
        <v>64</v>
      </c>
    </row>
    <row r="850" spans="1:9">
      <c r="A850" s="49">
        <v>45990</v>
      </c>
      <c r="B850" s="50">
        <v>0.3690277777777778</v>
      </c>
      <c r="C850" t="s">
        <v>155</v>
      </c>
      <c r="D850" t="s">
        <v>158</v>
      </c>
      <c r="E850" t="s">
        <v>32</v>
      </c>
      <c r="F850" t="s">
        <v>160</v>
      </c>
      <c r="G850">
        <v>-10000</v>
      </c>
      <c r="H850" t="s">
        <v>153</v>
      </c>
      <c r="I850" t="s">
        <v>64</v>
      </c>
    </row>
    <row r="851" spans="1:9">
      <c r="A851" s="49">
        <v>45990</v>
      </c>
      <c r="B851" s="50">
        <v>0.3690162037037037</v>
      </c>
      <c r="C851" t="s">
        <v>150</v>
      </c>
      <c r="D851" t="s">
        <v>44</v>
      </c>
      <c r="E851" t="s">
        <v>315</v>
      </c>
      <c r="F851" t="s">
        <v>316</v>
      </c>
      <c r="G851">
        <v>-14000</v>
      </c>
      <c r="H851" t="s">
        <v>153</v>
      </c>
      <c r="I851" t="s">
        <v>164</v>
      </c>
    </row>
    <row r="852" spans="1:9">
      <c r="A852" s="49">
        <v>45990</v>
      </c>
      <c r="B852" s="50">
        <v>0.3690162037037037</v>
      </c>
      <c r="C852" t="s">
        <v>155</v>
      </c>
      <c r="D852" t="s">
        <v>158</v>
      </c>
      <c r="E852" t="s">
        <v>32</v>
      </c>
      <c r="F852" t="s">
        <v>159</v>
      </c>
      <c r="G852">
        <v>10000</v>
      </c>
      <c r="H852" t="s">
        <v>153</v>
      </c>
      <c r="I852" t="s">
        <v>157</v>
      </c>
    </row>
    <row r="853" spans="1:9">
      <c r="A853" s="49">
        <v>45990</v>
      </c>
      <c r="B853" s="50">
        <v>0.2970717592592593</v>
      </c>
      <c r="C853" t="s">
        <v>155</v>
      </c>
      <c r="D853" t="s">
        <v>158</v>
      </c>
      <c r="E853" t="s">
        <v>32</v>
      </c>
      <c r="F853" t="s">
        <v>160</v>
      </c>
      <c r="G853">
        <v>-10000</v>
      </c>
      <c r="H853" t="s">
        <v>153</v>
      </c>
      <c r="I853" t="s">
        <v>64</v>
      </c>
    </row>
    <row r="854" spans="1:9">
      <c r="A854" s="49">
        <v>45990</v>
      </c>
      <c r="B854" s="50">
        <v>0.2970601851851852</v>
      </c>
      <c r="C854" t="s">
        <v>150</v>
      </c>
      <c r="D854" t="s">
        <v>40</v>
      </c>
      <c r="E854" t="s">
        <v>380</v>
      </c>
      <c r="F854" t="s">
        <v>381</v>
      </c>
      <c r="G854">
        <v>-2300</v>
      </c>
      <c r="H854" t="s">
        <v>153</v>
      </c>
      <c r="I854" t="s">
        <v>164</v>
      </c>
    </row>
    <row r="855" spans="1:9">
      <c r="A855" s="49">
        <v>45990</v>
      </c>
      <c r="B855" s="50">
        <v>0.2970601851851852</v>
      </c>
      <c r="C855" t="s">
        <v>155</v>
      </c>
      <c r="D855" t="s">
        <v>158</v>
      </c>
      <c r="E855" t="s">
        <v>32</v>
      </c>
      <c r="F855" t="s">
        <v>159</v>
      </c>
      <c r="G855">
        <v>10000</v>
      </c>
      <c r="H855" t="s">
        <v>153</v>
      </c>
      <c r="I855" t="s">
        <v>157</v>
      </c>
    </row>
    <row r="856" spans="1:9">
      <c r="A856" s="49">
        <v>45990</v>
      </c>
      <c r="B856" s="50">
        <v>0.2014351851851852</v>
      </c>
      <c r="C856" t="s">
        <v>167</v>
      </c>
      <c r="D856" t="s">
        <v>28</v>
      </c>
      <c r="E856" t="s">
        <v>32</v>
      </c>
      <c r="F856" t="s">
        <v>278</v>
      </c>
      <c r="G856">
        <v>323</v>
      </c>
      <c r="H856" t="s">
        <v>153</v>
      </c>
      <c r="I856" t="s">
        <v>64</v>
      </c>
    </row>
    <row r="857" spans="1:9">
      <c r="A857" s="49">
        <v>45990</v>
      </c>
      <c r="B857" s="50">
        <v>0.1105208333333333</v>
      </c>
      <c r="C857" t="s">
        <v>155</v>
      </c>
      <c r="D857" t="s">
        <v>241</v>
      </c>
      <c r="E857" t="s">
        <v>32</v>
      </c>
      <c r="F857" t="s">
        <v>279</v>
      </c>
      <c r="G857">
        <v>0</v>
      </c>
      <c r="H857" t="s">
        <v>153</v>
      </c>
      <c r="I857" t="s">
        <v>62</v>
      </c>
    </row>
    <row r="858" spans="1:9">
      <c r="A858" s="49">
        <v>45989</v>
      </c>
      <c r="B858" s="50">
        <v>0.5817592592592593</v>
      </c>
      <c r="C858" t="s">
        <v>150</v>
      </c>
      <c r="D858" t="s">
        <v>44</v>
      </c>
      <c r="E858" t="s">
        <v>162</v>
      </c>
      <c r="F858" t="s">
        <v>572</v>
      </c>
      <c r="G858">
        <v>-115000</v>
      </c>
      <c r="H858" t="s">
        <v>153</v>
      </c>
      <c r="I858" t="s">
        <v>157</v>
      </c>
    </row>
    <row r="859" spans="1:9">
      <c r="A859" s="49">
        <v>45989</v>
      </c>
      <c r="B859" s="50">
        <v>0.5817476851851852</v>
      </c>
      <c r="C859" t="s">
        <v>150</v>
      </c>
      <c r="D859" t="s">
        <v>44</v>
      </c>
      <c r="E859" t="s">
        <v>162</v>
      </c>
      <c r="F859" t="s">
        <v>572</v>
      </c>
      <c r="G859">
        <v>-115000</v>
      </c>
      <c r="H859" t="s">
        <v>153</v>
      </c>
      <c r="I859" t="s">
        <v>164</v>
      </c>
    </row>
    <row r="860" spans="1:9">
      <c r="A860" s="49">
        <v>45988</v>
      </c>
      <c r="B860" s="50">
        <v>0.9867708333333334</v>
      </c>
      <c r="C860" t="s">
        <v>150</v>
      </c>
      <c r="D860" t="s">
        <v>48</v>
      </c>
      <c r="E860" t="s">
        <v>185</v>
      </c>
      <c r="F860" t="s">
        <v>573</v>
      </c>
      <c r="G860">
        <v>-3800</v>
      </c>
      <c r="H860" t="s">
        <v>153</v>
      </c>
      <c r="I860" t="s">
        <v>214</v>
      </c>
    </row>
    <row r="861" spans="1:9">
      <c r="A861" s="49">
        <v>45988</v>
      </c>
      <c r="B861" s="50">
        <v>0.8325</v>
      </c>
      <c r="C861" t="s">
        <v>150</v>
      </c>
      <c r="D861" t="s">
        <v>48</v>
      </c>
      <c r="E861" t="s">
        <v>574</v>
      </c>
      <c r="F861" t="s">
        <v>575</v>
      </c>
      <c r="G861">
        <v>0</v>
      </c>
      <c r="H861" t="s">
        <v>153</v>
      </c>
      <c r="I861" t="s">
        <v>164</v>
      </c>
    </row>
    <row r="862" spans="1:9">
      <c r="A862" s="49">
        <v>45988</v>
      </c>
      <c r="B862" s="50">
        <v>0.5951273148148148</v>
      </c>
      <c r="C862" t="s">
        <v>150</v>
      </c>
      <c r="D862" t="s">
        <v>48</v>
      </c>
      <c r="E862" t="s">
        <v>185</v>
      </c>
      <c r="F862" t="s">
        <v>573</v>
      </c>
      <c r="G862">
        <v>-7800</v>
      </c>
      <c r="H862" t="s">
        <v>153</v>
      </c>
      <c r="I862" t="s">
        <v>214</v>
      </c>
    </row>
    <row r="863" spans="1:9">
      <c r="A863" s="49">
        <v>45988</v>
      </c>
      <c r="B863" s="50">
        <v>0.4679166666666666</v>
      </c>
      <c r="C863" t="s">
        <v>167</v>
      </c>
      <c r="D863" t="s">
        <v>29</v>
      </c>
      <c r="E863" t="s">
        <v>32</v>
      </c>
      <c r="F863" t="s">
        <v>302</v>
      </c>
      <c r="G863">
        <v>1000000</v>
      </c>
      <c r="H863" t="s">
        <v>153</v>
      </c>
      <c r="I863" t="s">
        <v>64</v>
      </c>
    </row>
    <row r="864" spans="1:9">
      <c r="A864" s="49">
        <v>45988</v>
      </c>
      <c r="B864" s="50">
        <v>0.4285416666666667</v>
      </c>
      <c r="C864" t="s">
        <v>150</v>
      </c>
      <c r="D864" t="s">
        <v>44</v>
      </c>
      <c r="E864" t="s">
        <v>315</v>
      </c>
      <c r="F864" t="s">
        <v>316</v>
      </c>
      <c r="G864">
        <v>-29000</v>
      </c>
      <c r="H864" t="s">
        <v>153</v>
      </c>
      <c r="I864" t="s">
        <v>164</v>
      </c>
    </row>
    <row r="865" spans="1:9">
      <c r="A865" s="49">
        <v>45988</v>
      </c>
      <c r="B865" s="50">
        <v>0.4285416666666667</v>
      </c>
      <c r="C865" t="s">
        <v>155</v>
      </c>
      <c r="D865" t="s">
        <v>158</v>
      </c>
      <c r="E865" t="s">
        <v>32</v>
      </c>
      <c r="F865" t="s">
        <v>159</v>
      </c>
      <c r="G865">
        <v>28920</v>
      </c>
      <c r="H865" t="s">
        <v>153</v>
      </c>
      <c r="I865" t="s">
        <v>157</v>
      </c>
    </row>
    <row r="866" spans="1:9">
      <c r="A866" s="49">
        <v>45988</v>
      </c>
      <c r="B866" s="50">
        <v>0.4285416666666667</v>
      </c>
      <c r="C866" t="s">
        <v>155</v>
      </c>
      <c r="D866" t="s">
        <v>158</v>
      </c>
      <c r="E866" t="s">
        <v>32</v>
      </c>
      <c r="F866" t="s">
        <v>160</v>
      </c>
      <c r="G866">
        <v>-28920</v>
      </c>
      <c r="H866" t="s">
        <v>153</v>
      </c>
      <c r="I866" t="s">
        <v>64</v>
      </c>
    </row>
    <row r="867" spans="1:9">
      <c r="A867" s="49">
        <v>45987</v>
      </c>
      <c r="B867" s="50">
        <v>0.8997337962962964</v>
      </c>
      <c r="C867" t="s">
        <v>150</v>
      </c>
      <c r="D867" t="s">
        <v>45</v>
      </c>
      <c r="E867" t="s">
        <v>415</v>
      </c>
      <c r="F867" t="s">
        <v>576</v>
      </c>
      <c r="G867">
        <v>0</v>
      </c>
      <c r="H867" t="s">
        <v>153</v>
      </c>
      <c r="I867" t="s">
        <v>164</v>
      </c>
    </row>
    <row r="868" spans="1:9">
      <c r="A868" s="49">
        <v>45987</v>
      </c>
      <c r="B868" s="50">
        <v>0.7373842592592592</v>
      </c>
      <c r="C868" t="s">
        <v>150</v>
      </c>
      <c r="D868" t="s">
        <v>48</v>
      </c>
      <c r="E868" t="s">
        <v>196</v>
      </c>
      <c r="F868" t="s">
        <v>197</v>
      </c>
      <c r="G868">
        <v>-9000</v>
      </c>
      <c r="H868" t="s">
        <v>153</v>
      </c>
      <c r="I868" t="s">
        <v>214</v>
      </c>
    </row>
    <row r="869" spans="1:9">
      <c r="A869" s="49">
        <v>45987</v>
      </c>
      <c r="B869" s="50">
        <v>0.6243518518518518</v>
      </c>
      <c r="C869" t="s">
        <v>150</v>
      </c>
      <c r="D869" t="s">
        <v>37</v>
      </c>
      <c r="E869" t="s">
        <v>577</v>
      </c>
      <c r="F869" t="s">
        <v>578</v>
      </c>
      <c r="G869">
        <v>-30000</v>
      </c>
      <c r="H869" t="s">
        <v>153</v>
      </c>
      <c r="I869" t="s">
        <v>64</v>
      </c>
    </row>
    <row r="870" spans="1:9">
      <c r="A870" s="49">
        <v>45986</v>
      </c>
      <c r="B870" s="50">
        <v>0.7452314814814814</v>
      </c>
      <c r="C870" t="s">
        <v>150</v>
      </c>
      <c r="D870" t="s">
        <v>44</v>
      </c>
      <c r="E870" t="s">
        <v>162</v>
      </c>
      <c r="F870" t="s">
        <v>163</v>
      </c>
      <c r="G870">
        <v>-3500</v>
      </c>
      <c r="H870" t="s">
        <v>153</v>
      </c>
      <c r="I870" t="s">
        <v>164</v>
      </c>
    </row>
    <row r="871" spans="1:9">
      <c r="A871" s="49">
        <v>45986</v>
      </c>
      <c r="B871" s="50">
        <v>0.6752199074074074</v>
      </c>
      <c r="C871" t="s">
        <v>155</v>
      </c>
      <c r="D871" t="s">
        <v>158</v>
      </c>
      <c r="E871" t="s">
        <v>32</v>
      </c>
      <c r="F871" t="s">
        <v>450</v>
      </c>
      <c r="G871">
        <v>-100000</v>
      </c>
      <c r="H871" t="s">
        <v>153</v>
      </c>
      <c r="I871" t="s">
        <v>64</v>
      </c>
    </row>
    <row r="872" spans="1:9">
      <c r="A872" s="49">
        <v>45985</v>
      </c>
      <c r="B872" s="50">
        <v>0.9412268518518518</v>
      </c>
      <c r="C872" t="s">
        <v>155</v>
      </c>
      <c r="D872" t="s">
        <v>158</v>
      </c>
      <c r="E872" t="s">
        <v>32</v>
      </c>
      <c r="F872" t="s">
        <v>160</v>
      </c>
      <c r="G872">
        <v>-10000</v>
      </c>
      <c r="H872" t="s">
        <v>153</v>
      </c>
      <c r="I872" t="s">
        <v>64</v>
      </c>
    </row>
    <row r="873" spans="1:9">
      <c r="A873" s="49">
        <v>45985</v>
      </c>
      <c r="B873" s="50">
        <v>0.9412152777777778</v>
      </c>
      <c r="C873" t="s">
        <v>150</v>
      </c>
      <c r="D873" t="s">
        <v>44</v>
      </c>
      <c r="E873" t="s">
        <v>162</v>
      </c>
      <c r="F873" t="s">
        <v>163</v>
      </c>
      <c r="G873">
        <v>-6500</v>
      </c>
      <c r="H873" t="s">
        <v>153</v>
      </c>
      <c r="I873" t="s">
        <v>164</v>
      </c>
    </row>
    <row r="874" spans="1:9">
      <c r="A874" s="49">
        <v>45985</v>
      </c>
      <c r="B874" s="50">
        <v>0.9412152777777778</v>
      </c>
      <c r="C874" t="s">
        <v>155</v>
      </c>
      <c r="D874" t="s">
        <v>158</v>
      </c>
      <c r="E874" t="s">
        <v>32</v>
      </c>
      <c r="F874" t="s">
        <v>159</v>
      </c>
      <c r="G874">
        <v>10000</v>
      </c>
      <c r="H874" t="s">
        <v>153</v>
      </c>
      <c r="I874" t="s">
        <v>157</v>
      </c>
    </row>
    <row r="875" spans="1:9">
      <c r="A875" s="49">
        <v>45985</v>
      </c>
      <c r="B875" s="50">
        <v>0.7349884259259259</v>
      </c>
      <c r="C875" t="s">
        <v>150</v>
      </c>
      <c r="D875" t="s">
        <v>44</v>
      </c>
      <c r="E875" t="s">
        <v>162</v>
      </c>
      <c r="F875" t="s">
        <v>163</v>
      </c>
      <c r="G875">
        <v>-3500</v>
      </c>
      <c r="H875" t="s">
        <v>153</v>
      </c>
      <c r="I875" t="s">
        <v>164</v>
      </c>
    </row>
    <row r="876" spans="1:9">
      <c r="A876" s="49">
        <v>45985</v>
      </c>
      <c r="B876" s="50">
        <v>0.7022337962962963</v>
      </c>
      <c r="C876" t="s">
        <v>155</v>
      </c>
      <c r="D876" t="s">
        <v>229</v>
      </c>
      <c r="E876" t="s">
        <v>32</v>
      </c>
      <c r="F876" t="s">
        <v>565</v>
      </c>
      <c r="G876">
        <v>46720</v>
      </c>
      <c r="H876" t="s">
        <v>153</v>
      </c>
      <c r="I876" t="s">
        <v>64</v>
      </c>
    </row>
    <row r="877" spans="1:9">
      <c r="A877" s="49">
        <v>45985</v>
      </c>
      <c r="B877" s="50">
        <v>0.4869560185185185</v>
      </c>
      <c r="C877" t="s">
        <v>150</v>
      </c>
      <c r="D877" t="s">
        <v>35</v>
      </c>
      <c r="E877" t="s">
        <v>169</v>
      </c>
      <c r="F877" t="s">
        <v>563</v>
      </c>
      <c r="G877">
        <v>-1740</v>
      </c>
      <c r="H877" t="s">
        <v>153</v>
      </c>
      <c r="I877" t="s">
        <v>164</v>
      </c>
    </row>
    <row r="878" spans="1:9">
      <c r="A878" s="49">
        <v>45985</v>
      </c>
      <c r="B878" s="50">
        <v>0.45875</v>
      </c>
      <c r="C878" t="s">
        <v>150</v>
      </c>
      <c r="D878" t="s">
        <v>44</v>
      </c>
      <c r="E878" t="s">
        <v>162</v>
      </c>
      <c r="F878" t="s">
        <v>579</v>
      </c>
      <c r="G878">
        <v>-90000</v>
      </c>
      <c r="H878" t="s">
        <v>153</v>
      </c>
      <c r="I878" t="s">
        <v>64</v>
      </c>
    </row>
    <row r="879" spans="1:9">
      <c r="A879" s="49">
        <v>45985</v>
      </c>
      <c r="B879" s="50">
        <v>0.3693981481481481</v>
      </c>
      <c r="C879" t="s">
        <v>150</v>
      </c>
      <c r="D879" t="s">
        <v>44</v>
      </c>
      <c r="E879" t="s">
        <v>162</v>
      </c>
      <c r="F879" t="s">
        <v>579</v>
      </c>
      <c r="G879">
        <v>-60000</v>
      </c>
      <c r="H879" t="s">
        <v>153</v>
      </c>
      <c r="I879" t="s">
        <v>64</v>
      </c>
    </row>
    <row r="880" spans="1:9">
      <c r="A880" s="49">
        <v>45985</v>
      </c>
      <c r="B880" s="50">
        <v>0.3574189814814815</v>
      </c>
      <c r="C880" t="s">
        <v>150</v>
      </c>
      <c r="D880" t="s">
        <v>42</v>
      </c>
      <c r="E880" t="s">
        <v>374</v>
      </c>
      <c r="F880" t="s">
        <v>375</v>
      </c>
      <c r="G880">
        <v>-4300</v>
      </c>
      <c r="H880" t="s">
        <v>153</v>
      </c>
      <c r="I880" t="s">
        <v>214</v>
      </c>
    </row>
    <row r="881" spans="1:9">
      <c r="A881" s="49">
        <v>45985</v>
      </c>
      <c r="B881" s="50">
        <v>0.1414236111111111</v>
      </c>
      <c r="C881" t="s">
        <v>150</v>
      </c>
      <c r="D881" t="s">
        <v>44</v>
      </c>
      <c r="E881" t="s">
        <v>162</v>
      </c>
      <c r="F881" t="s">
        <v>579</v>
      </c>
      <c r="G881">
        <v>-120000</v>
      </c>
      <c r="H881" t="s">
        <v>153</v>
      </c>
      <c r="I881" t="s">
        <v>64</v>
      </c>
    </row>
    <row r="882" spans="1:9">
      <c r="A882" s="49">
        <v>45985</v>
      </c>
      <c r="B882" s="50">
        <v>0.1330439814814815</v>
      </c>
      <c r="C882" t="s">
        <v>150</v>
      </c>
      <c r="D882" t="s">
        <v>44</v>
      </c>
      <c r="E882" t="s">
        <v>162</v>
      </c>
      <c r="F882" t="s">
        <v>579</v>
      </c>
      <c r="G882">
        <v>-120000</v>
      </c>
      <c r="H882" t="s">
        <v>153</v>
      </c>
      <c r="I882" t="s">
        <v>64</v>
      </c>
    </row>
    <row r="883" spans="1:9">
      <c r="A883" s="49">
        <v>45984</v>
      </c>
      <c r="B883" s="50">
        <v>0.9520601851851852</v>
      </c>
      <c r="C883" t="s">
        <v>155</v>
      </c>
      <c r="D883" t="s">
        <v>155</v>
      </c>
      <c r="E883" t="s">
        <v>32</v>
      </c>
      <c r="F883" t="s">
        <v>580</v>
      </c>
      <c r="G883">
        <v>499000</v>
      </c>
      <c r="H883" t="s">
        <v>153</v>
      </c>
      <c r="I883" t="s">
        <v>64</v>
      </c>
    </row>
    <row r="884" spans="1:9">
      <c r="A884" s="49">
        <v>45984</v>
      </c>
      <c r="B884" s="50">
        <v>0.8694212962962963</v>
      </c>
      <c r="C884" t="s">
        <v>155</v>
      </c>
      <c r="D884" t="s">
        <v>155</v>
      </c>
      <c r="E884" t="s">
        <v>32</v>
      </c>
      <c r="F884" t="s">
        <v>581</v>
      </c>
      <c r="G884">
        <v>399200</v>
      </c>
      <c r="H884" t="s">
        <v>153</v>
      </c>
      <c r="I884" t="s">
        <v>64</v>
      </c>
    </row>
    <row r="885" spans="1:9">
      <c r="A885" s="49">
        <v>45984</v>
      </c>
      <c r="B885" s="50">
        <v>0.771261574074074</v>
      </c>
      <c r="C885" t="s">
        <v>150</v>
      </c>
      <c r="D885" t="s">
        <v>47</v>
      </c>
      <c r="E885" t="s">
        <v>292</v>
      </c>
      <c r="F885" t="s">
        <v>518</v>
      </c>
      <c r="G885">
        <v>-14478</v>
      </c>
      <c r="H885" t="s">
        <v>153</v>
      </c>
      <c r="I885" t="s">
        <v>214</v>
      </c>
    </row>
    <row r="886" spans="1:9">
      <c r="A886" s="49">
        <v>45984</v>
      </c>
      <c r="B886" s="50">
        <v>0.6650231481481481</v>
      </c>
      <c r="C886" t="s">
        <v>150</v>
      </c>
      <c r="D886" t="s">
        <v>44</v>
      </c>
      <c r="E886" t="s">
        <v>162</v>
      </c>
      <c r="F886" t="s">
        <v>283</v>
      </c>
      <c r="G886">
        <v>-4700</v>
      </c>
      <c r="H886" t="s">
        <v>153</v>
      </c>
      <c r="I886" t="s">
        <v>164</v>
      </c>
    </row>
    <row r="887" spans="1:9">
      <c r="A887" s="49">
        <v>45984</v>
      </c>
      <c r="B887" s="50">
        <v>0.6649884259259259</v>
      </c>
      <c r="C887" t="s">
        <v>155</v>
      </c>
      <c r="D887" t="s">
        <v>155</v>
      </c>
      <c r="E887" t="s">
        <v>32</v>
      </c>
      <c r="F887" t="s">
        <v>160</v>
      </c>
      <c r="G887">
        <v>-10000</v>
      </c>
      <c r="H887" t="s">
        <v>153</v>
      </c>
      <c r="I887" t="s">
        <v>64</v>
      </c>
    </row>
    <row r="888" spans="1:9">
      <c r="A888" s="49">
        <v>45984</v>
      </c>
      <c r="B888" s="50">
        <v>0.6182175925925926</v>
      </c>
      <c r="C888" t="s">
        <v>155</v>
      </c>
      <c r="D888" t="s">
        <v>158</v>
      </c>
      <c r="E888" t="s">
        <v>32</v>
      </c>
      <c r="F888" t="s">
        <v>7</v>
      </c>
      <c r="G888">
        <v>39000</v>
      </c>
      <c r="H888" t="s">
        <v>153</v>
      </c>
      <c r="I888" t="s">
        <v>64</v>
      </c>
    </row>
    <row r="889" spans="1:9">
      <c r="A889" s="49">
        <v>45984</v>
      </c>
      <c r="B889" s="50">
        <v>0.6177314814814815</v>
      </c>
      <c r="C889" t="s">
        <v>150</v>
      </c>
      <c r="D889" t="s">
        <v>42</v>
      </c>
      <c r="E889" t="s">
        <v>582</v>
      </c>
      <c r="F889" t="s">
        <v>583</v>
      </c>
      <c r="G889">
        <v>-39000</v>
      </c>
      <c r="H889" t="s">
        <v>153</v>
      </c>
      <c r="I889" t="s">
        <v>214</v>
      </c>
    </row>
    <row r="890" spans="1:9">
      <c r="A890" s="49">
        <v>45984</v>
      </c>
      <c r="B890" s="50">
        <v>0.4444097222222222</v>
      </c>
      <c r="C890" t="s">
        <v>150</v>
      </c>
      <c r="D890" t="s">
        <v>35</v>
      </c>
      <c r="E890" t="s">
        <v>174</v>
      </c>
      <c r="F890" t="s">
        <v>314</v>
      </c>
      <c r="G890">
        <v>-10000</v>
      </c>
      <c r="H890" t="s">
        <v>153</v>
      </c>
      <c r="I890" t="s">
        <v>64</v>
      </c>
    </row>
    <row r="891" spans="1:9">
      <c r="A891" s="49">
        <v>45983</v>
      </c>
      <c r="B891" s="50">
        <v>0.8829282407407407</v>
      </c>
      <c r="C891" t="s">
        <v>150</v>
      </c>
      <c r="D891" t="s">
        <v>35</v>
      </c>
      <c r="E891" t="s">
        <v>174</v>
      </c>
      <c r="F891" t="s">
        <v>314</v>
      </c>
      <c r="G891">
        <v>-10000</v>
      </c>
      <c r="H891" t="s">
        <v>153</v>
      </c>
      <c r="I891" t="s">
        <v>64</v>
      </c>
    </row>
    <row r="892" spans="1:9">
      <c r="A892" s="49">
        <v>45983</v>
      </c>
      <c r="B892" s="50">
        <v>0.8225231481481482</v>
      </c>
      <c r="C892" t="s">
        <v>150</v>
      </c>
      <c r="D892" t="s">
        <v>37</v>
      </c>
      <c r="E892" t="s">
        <v>438</v>
      </c>
      <c r="F892" t="s">
        <v>526</v>
      </c>
      <c r="G892">
        <v>-4000</v>
      </c>
      <c r="H892" t="s">
        <v>153</v>
      </c>
      <c r="I892" t="s">
        <v>214</v>
      </c>
    </row>
    <row r="893" spans="1:9">
      <c r="A893" s="49">
        <v>45983</v>
      </c>
      <c r="B893" s="50">
        <v>0.8019675925925925</v>
      </c>
      <c r="C893" t="s">
        <v>150</v>
      </c>
      <c r="D893" t="s">
        <v>42</v>
      </c>
      <c r="E893" t="s">
        <v>463</v>
      </c>
      <c r="F893" t="s">
        <v>584</v>
      </c>
      <c r="G893">
        <v>-55600</v>
      </c>
      <c r="H893" t="s">
        <v>153</v>
      </c>
      <c r="I893" t="s">
        <v>214</v>
      </c>
    </row>
    <row r="894" spans="1:9">
      <c r="A894" s="49">
        <v>45983</v>
      </c>
      <c r="B894" s="50">
        <v>0.7105902777777777</v>
      </c>
      <c r="C894" t="s">
        <v>150</v>
      </c>
      <c r="D894" t="s">
        <v>44</v>
      </c>
      <c r="E894" t="s">
        <v>162</v>
      </c>
      <c r="F894" t="s">
        <v>283</v>
      </c>
      <c r="G894">
        <v>-184800</v>
      </c>
      <c r="H894" t="s">
        <v>153</v>
      </c>
      <c r="I894" t="s">
        <v>164</v>
      </c>
    </row>
    <row r="895" spans="1:9">
      <c r="A895" s="49">
        <v>45983</v>
      </c>
      <c r="B895" s="50">
        <v>0.7105902777777777</v>
      </c>
      <c r="C895" t="s">
        <v>155</v>
      </c>
      <c r="D895" t="s">
        <v>158</v>
      </c>
      <c r="E895" t="s">
        <v>32</v>
      </c>
      <c r="F895" t="s">
        <v>159</v>
      </c>
      <c r="G895">
        <v>180380</v>
      </c>
      <c r="H895" t="s">
        <v>153</v>
      </c>
      <c r="I895" t="s">
        <v>157</v>
      </c>
    </row>
    <row r="896" spans="1:9">
      <c r="A896" s="49">
        <v>45983</v>
      </c>
      <c r="B896" s="50">
        <v>0.7105902777777777</v>
      </c>
      <c r="C896" t="s">
        <v>155</v>
      </c>
      <c r="D896" t="s">
        <v>158</v>
      </c>
      <c r="E896" t="s">
        <v>32</v>
      </c>
      <c r="F896" t="s">
        <v>160</v>
      </c>
      <c r="G896">
        <v>-180380</v>
      </c>
      <c r="H896" t="s">
        <v>153</v>
      </c>
      <c r="I896" t="s">
        <v>64</v>
      </c>
    </row>
    <row r="897" spans="1:9">
      <c r="A897" s="49">
        <v>45983</v>
      </c>
      <c r="B897" s="50">
        <v>0.4962152777777778</v>
      </c>
      <c r="C897" t="s">
        <v>150</v>
      </c>
      <c r="D897" t="s">
        <v>35</v>
      </c>
      <c r="E897" t="s">
        <v>169</v>
      </c>
      <c r="F897" t="s">
        <v>170</v>
      </c>
      <c r="G897">
        <v>-1610</v>
      </c>
      <c r="H897" t="s">
        <v>153</v>
      </c>
      <c r="I897" t="s">
        <v>171</v>
      </c>
    </row>
    <row r="898" spans="1:9">
      <c r="A898" s="49">
        <v>45983</v>
      </c>
      <c r="B898" s="50">
        <v>0.4962152777777778</v>
      </c>
      <c r="C898" t="s">
        <v>167</v>
      </c>
      <c r="D898" t="s">
        <v>31</v>
      </c>
      <c r="E898" t="s">
        <v>32</v>
      </c>
      <c r="F898" t="s">
        <v>168</v>
      </c>
      <c r="G898">
        <v>3000</v>
      </c>
      <c r="H898" t="s">
        <v>153</v>
      </c>
      <c r="I898" t="s">
        <v>64</v>
      </c>
    </row>
    <row r="899" spans="1:9">
      <c r="A899" s="49">
        <v>45983</v>
      </c>
      <c r="B899" s="50">
        <v>0.4918055555555556</v>
      </c>
      <c r="C899" t="s">
        <v>150</v>
      </c>
      <c r="D899" t="s">
        <v>35</v>
      </c>
      <c r="E899" t="s">
        <v>169</v>
      </c>
      <c r="F899" t="s">
        <v>170</v>
      </c>
      <c r="G899">
        <v>3000</v>
      </c>
      <c r="H899" t="s">
        <v>153</v>
      </c>
      <c r="I899" t="s">
        <v>171</v>
      </c>
    </row>
    <row r="900" spans="1:9">
      <c r="A900" s="49">
        <v>45983</v>
      </c>
      <c r="B900" s="50">
        <v>0.4918055555555556</v>
      </c>
      <c r="C900" t="s">
        <v>150</v>
      </c>
      <c r="D900" t="s">
        <v>40</v>
      </c>
      <c r="E900" t="s">
        <v>172</v>
      </c>
      <c r="F900" t="s">
        <v>173</v>
      </c>
      <c r="G900">
        <v>-3000</v>
      </c>
      <c r="H900" t="s">
        <v>153</v>
      </c>
      <c r="I900" t="s">
        <v>64</v>
      </c>
    </row>
    <row r="901" spans="1:9">
      <c r="A901" s="49">
        <v>45982</v>
      </c>
      <c r="B901" s="50">
        <v>0.8137615740740741</v>
      </c>
      <c r="C901" t="s">
        <v>150</v>
      </c>
      <c r="D901" t="s">
        <v>48</v>
      </c>
      <c r="E901" t="s">
        <v>185</v>
      </c>
      <c r="F901" t="s">
        <v>368</v>
      </c>
      <c r="G901">
        <v>-11800</v>
      </c>
      <c r="H901" t="s">
        <v>153</v>
      </c>
      <c r="I901" t="s">
        <v>214</v>
      </c>
    </row>
    <row r="902" spans="1:9">
      <c r="A902" s="49">
        <v>45982</v>
      </c>
      <c r="B902" s="50">
        <v>0.5582407407407407</v>
      </c>
      <c r="C902" t="s">
        <v>155</v>
      </c>
      <c r="D902" t="s">
        <v>155</v>
      </c>
      <c r="E902" t="s">
        <v>32</v>
      </c>
      <c r="F902" t="s">
        <v>585</v>
      </c>
      <c r="G902">
        <v>1</v>
      </c>
      <c r="H902" t="s">
        <v>153</v>
      </c>
      <c r="I902" t="s">
        <v>64</v>
      </c>
    </row>
    <row r="903" spans="1:9">
      <c r="A903" s="49">
        <v>45982</v>
      </c>
      <c r="B903" s="50">
        <v>0.556863425925926</v>
      </c>
      <c r="C903" t="s">
        <v>150</v>
      </c>
      <c r="D903" t="s">
        <v>48</v>
      </c>
      <c r="E903" t="s">
        <v>185</v>
      </c>
      <c r="F903" t="s">
        <v>368</v>
      </c>
      <c r="G903">
        <v>-5800</v>
      </c>
      <c r="H903" t="s">
        <v>153</v>
      </c>
      <c r="I903" t="s">
        <v>214</v>
      </c>
    </row>
    <row r="904" spans="1:9">
      <c r="A904" s="49">
        <v>45982</v>
      </c>
      <c r="B904" s="50">
        <v>0.4465509259259259</v>
      </c>
      <c r="C904" t="s">
        <v>150</v>
      </c>
      <c r="D904" t="s">
        <v>35</v>
      </c>
      <c r="E904" t="s">
        <v>169</v>
      </c>
      <c r="F904" t="s">
        <v>563</v>
      </c>
      <c r="G904">
        <v>-1740</v>
      </c>
      <c r="H904" t="s">
        <v>153</v>
      </c>
      <c r="I904" t="s">
        <v>164</v>
      </c>
    </row>
    <row r="905" spans="1:9">
      <c r="A905" s="49">
        <v>45982</v>
      </c>
      <c r="B905" s="50">
        <v>0.4333796296296296</v>
      </c>
      <c r="C905" t="s">
        <v>150</v>
      </c>
      <c r="D905" t="s">
        <v>44</v>
      </c>
      <c r="E905" t="s">
        <v>162</v>
      </c>
      <c r="F905" t="s">
        <v>579</v>
      </c>
      <c r="G905">
        <v>-210000</v>
      </c>
      <c r="H905" t="s">
        <v>153</v>
      </c>
      <c r="I905" t="s">
        <v>64</v>
      </c>
    </row>
    <row r="906" spans="1:9">
      <c r="A906" s="49">
        <v>45982</v>
      </c>
      <c r="B906" s="50">
        <v>0.4298263888888889</v>
      </c>
      <c r="C906" t="s">
        <v>150</v>
      </c>
      <c r="D906" t="s">
        <v>44</v>
      </c>
      <c r="E906" t="s">
        <v>162</v>
      </c>
      <c r="F906" t="s">
        <v>579</v>
      </c>
      <c r="G906">
        <v>-30000</v>
      </c>
      <c r="H906" t="s">
        <v>153</v>
      </c>
      <c r="I906" t="s">
        <v>64</v>
      </c>
    </row>
    <row r="907" spans="1:9">
      <c r="A907" s="49">
        <v>45982</v>
      </c>
      <c r="B907" s="50">
        <v>0.3925694444444445</v>
      </c>
      <c r="C907" t="s">
        <v>155</v>
      </c>
      <c r="D907" t="s">
        <v>155</v>
      </c>
      <c r="E907" t="s">
        <v>32</v>
      </c>
      <c r="F907" t="s">
        <v>586</v>
      </c>
      <c r="G907">
        <v>499000</v>
      </c>
      <c r="H907" t="s">
        <v>153</v>
      </c>
      <c r="I907" t="s">
        <v>64</v>
      </c>
    </row>
    <row r="908" spans="1:9">
      <c r="A908" s="49">
        <v>45982</v>
      </c>
      <c r="B908" s="50">
        <v>0.3537152777777778</v>
      </c>
      <c r="C908" t="s">
        <v>150</v>
      </c>
      <c r="D908" t="s">
        <v>35</v>
      </c>
      <c r="E908" t="s">
        <v>169</v>
      </c>
      <c r="F908" t="s">
        <v>563</v>
      </c>
      <c r="G908">
        <v>-1920</v>
      </c>
      <c r="H908" t="s">
        <v>153</v>
      </c>
      <c r="I908" t="s">
        <v>164</v>
      </c>
    </row>
    <row r="909" spans="1:9">
      <c r="A909" s="49">
        <v>45981</v>
      </c>
      <c r="B909" s="50">
        <v>0.9184722222222222</v>
      </c>
      <c r="C909" t="s">
        <v>155</v>
      </c>
      <c r="D909" t="s">
        <v>155</v>
      </c>
      <c r="E909" t="s">
        <v>32</v>
      </c>
      <c r="F909" t="s">
        <v>246</v>
      </c>
      <c r="G909">
        <v>-13950</v>
      </c>
      <c r="H909" t="s">
        <v>153</v>
      </c>
      <c r="I909" t="s">
        <v>64</v>
      </c>
    </row>
    <row r="910" spans="1:9">
      <c r="A910" s="49">
        <v>45981</v>
      </c>
      <c r="B910" s="50">
        <v>0.8802777777777778</v>
      </c>
      <c r="C910" t="s">
        <v>150</v>
      </c>
      <c r="D910" t="s">
        <v>40</v>
      </c>
      <c r="E910" t="s">
        <v>172</v>
      </c>
      <c r="F910" t="s">
        <v>405</v>
      </c>
      <c r="G910">
        <v>0</v>
      </c>
      <c r="H910" t="s">
        <v>153</v>
      </c>
      <c r="I910" t="s">
        <v>164</v>
      </c>
    </row>
    <row r="911" spans="1:9">
      <c r="A911" s="49">
        <v>45981</v>
      </c>
      <c r="B911" s="50">
        <v>0.7571412037037037</v>
      </c>
      <c r="C911" t="s">
        <v>150</v>
      </c>
      <c r="D911" t="s">
        <v>48</v>
      </c>
      <c r="E911" t="s">
        <v>185</v>
      </c>
      <c r="F911" t="s">
        <v>550</v>
      </c>
      <c r="G911">
        <v>-5300</v>
      </c>
      <c r="H911" t="s">
        <v>153</v>
      </c>
      <c r="I911" t="s">
        <v>214</v>
      </c>
    </row>
    <row r="912" spans="1:9">
      <c r="A912" s="49">
        <v>45981</v>
      </c>
      <c r="B912" s="50">
        <v>0.6015972222222222</v>
      </c>
      <c r="C912" t="s">
        <v>150</v>
      </c>
      <c r="D912" t="s">
        <v>35</v>
      </c>
      <c r="E912" t="s">
        <v>169</v>
      </c>
      <c r="F912" t="s">
        <v>563</v>
      </c>
      <c r="G912">
        <v>-1920</v>
      </c>
      <c r="H912" t="s">
        <v>153</v>
      </c>
      <c r="I912" t="s">
        <v>164</v>
      </c>
    </row>
    <row r="913" spans="1:9">
      <c r="A913" s="49">
        <v>45981</v>
      </c>
      <c r="B913" s="50">
        <v>0.6015972222222222</v>
      </c>
      <c r="C913" t="s">
        <v>155</v>
      </c>
      <c r="D913" t="s">
        <v>158</v>
      </c>
      <c r="E913" t="s">
        <v>32</v>
      </c>
      <c r="F913" t="s">
        <v>159</v>
      </c>
      <c r="G913">
        <v>10000</v>
      </c>
      <c r="H913" t="s">
        <v>153</v>
      </c>
      <c r="I913" t="s">
        <v>157</v>
      </c>
    </row>
    <row r="914" spans="1:9">
      <c r="A914" s="49">
        <v>45981</v>
      </c>
      <c r="B914" s="50">
        <v>0.6015972222222222</v>
      </c>
      <c r="C914" t="s">
        <v>155</v>
      </c>
      <c r="D914" t="s">
        <v>158</v>
      </c>
      <c r="E914" t="s">
        <v>32</v>
      </c>
      <c r="F914" t="s">
        <v>160</v>
      </c>
      <c r="G914">
        <v>-10000</v>
      </c>
      <c r="H914" t="s">
        <v>153</v>
      </c>
      <c r="I914" t="s">
        <v>64</v>
      </c>
    </row>
    <row r="915" spans="1:9">
      <c r="A915" s="49">
        <v>45981</v>
      </c>
      <c r="B915" s="50">
        <v>0.55125</v>
      </c>
      <c r="C915" t="s">
        <v>150</v>
      </c>
      <c r="D915" t="s">
        <v>44</v>
      </c>
      <c r="E915" t="s">
        <v>260</v>
      </c>
      <c r="F915" t="s">
        <v>261</v>
      </c>
      <c r="G915">
        <v>-90000</v>
      </c>
      <c r="H915" t="s">
        <v>153</v>
      </c>
      <c r="I915" t="s">
        <v>64</v>
      </c>
    </row>
    <row r="916" spans="1:9">
      <c r="A916" s="49">
        <v>45981</v>
      </c>
      <c r="B916" s="50">
        <v>0.5012962962962964</v>
      </c>
      <c r="C916" t="s">
        <v>150</v>
      </c>
      <c r="D916" t="s">
        <v>44</v>
      </c>
      <c r="E916" t="s">
        <v>260</v>
      </c>
      <c r="F916" t="s">
        <v>261</v>
      </c>
      <c r="G916">
        <v>-40000</v>
      </c>
      <c r="H916" t="s">
        <v>153</v>
      </c>
      <c r="I916" t="s">
        <v>64</v>
      </c>
    </row>
    <row r="917" spans="1:9">
      <c r="A917" s="49">
        <v>45981</v>
      </c>
      <c r="B917" s="50">
        <v>0.4752314814814815</v>
      </c>
      <c r="C917" t="s">
        <v>150</v>
      </c>
      <c r="D917" t="s">
        <v>44</v>
      </c>
      <c r="E917" t="s">
        <v>162</v>
      </c>
      <c r="F917" t="s">
        <v>579</v>
      </c>
      <c r="G917">
        <v>-210000</v>
      </c>
      <c r="H917" t="s">
        <v>153</v>
      </c>
      <c r="I917" t="s">
        <v>64</v>
      </c>
    </row>
    <row r="918" spans="1:9">
      <c r="A918" s="49">
        <v>45981</v>
      </c>
      <c r="B918" s="50">
        <v>0.4361111111111111</v>
      </c>
      <c r="C918" t="s">
        <v>150</v>
      </c>
      <c r="D918" t="s">
        <v>41</v>
      </c>
      <c r="E918" t="s">
        <v>298</v>
      </c>
      <c r="F918" t="s">
        <v>299</v>
      </c>
      <c r="G918">
        <v>-63900</v>
      </c>
      <c r="H918" t="s">
        <v>153</v>
      </c>
      <c r="I918" t="s">
        <v>171</v>
      </c>
    </row>
    <row r="919" spans="1:9">
      <c r="A919" s="49">
        <v>45981</v>
      </c>
      <c r="B919" s="50">
        <v>0.03175925925925926</v>
      </c>
      <c r="C919" t="s">
        <v>150</v>
      </c>
      <c r="D919" t="s">
        <v>44</v>
      </c>
      <c r="E919" t="s">
        <v>260</v>
      </c>
      <c r="F919" t="s">
        <v>261</v>
      </c>
      <c r="G919">
        <v>-20000</v>
      </c>
      <c r="H919" t="s">
        <v>153</v>
      </c>
      <c r="I919" t="s">
        <v>64</v>
      </c>
    </row>
    <row r="920" spans="1:9">
      <c r="A920" s="49">
        <v>45980</v>
      </c>
      <c r="B920" s="50">
        <v>0.9814930555555555</v>
      </c>
      <c r="C920" t="s">
        <v>150</v>
      </c>
      <c r="D920" t="s">
        <v>44</v>
      </c>
      <c r="E920" t="s">
        <v>162</v>
      </c>
      <c r="F920" t="s">
        <v>579</v>
      </c>
      <c r="G920">
        <v>-150000</v>
      </c>
      <c r="H920" t="s">
        <v>153</v>
      </c>
      <c r="I920" t="s">
        <v>64</v>
      </c>
    </row>
    <row r="921" spans="1:9">
      <c r="A921" s="49">
        <v>45980</v>
      </c>
      <c r="B921" s="50">
        <v>0.9062847222222222</v>
      </c>
      <c r="C921" t="s">
        <v>150</v>
      </c>
      <c r="D921" t="s">
        <v>44</v>
      </c>
      <c r="E921" t="s">
        <v>162</v>
      </c>
      <c r="F921" t="s">
        <v>579</v>
      </c>
      <c r="G921">
        <v>-300000</v>
      </c>
      <c r="H921" t="s">
        <v>153</v>
      </c>
      <c r="I921" t="s">
        <v>64</v>
      </c>
    </row>
    <row r="922" spans="1:9">
      <c r="A922" s="49">
        <v>45980</v>
      </c>
      <c r="B922" s="50">
        <v>0.7847106481481482</v>
      </c>
      <c r="C922" t="s">
        <v>150</v>
      </c>
      <c r="D922" t="s">
        <v>44</v>
      </c>
      <c r="E922" t="s">
        <v>162</v>
      </c>
      <c r="F922" t="s">
        <v>579</v>
      </c>
      <c r="G922">
        <v>-300000</v>
      </c>
      <c r="H922" t="s">
        <v>153</v>
      </c>
      <c r="I922" t="s">
        <v>64</v>
      </c>
    </row>
    <row r="923" spans="1:9">
      <c r="A923" s="49">
        <v>45980</v>
      </c>
      <c r="B923" s="50">
        <v>0.781712962962963</v>
      </c>
      <c r="C923" t="s">
        <v>167</v>
      </c>
      <c r="D923" t="s">
        <v>31</v>
      </c>
      <c r="E923" t="s">
        <v>32</v>
      </c>
      <c r="F923" t="s">
        <v>587</v>
      </c>
      <c r="G923">
        <v>1</v>
      </c>
      <c r="H923" t="s">
        <v>153</v>
      </c>
      <c r="I923" t="s">
        <v>64</v>
      </c>
    </row>
    <row r="924" spans="1:9">
      <c r="A924" s="49">
        <v>45980</v>
      </c>
      <c r="B924" s="50">
        <v>0.7174421296296296</v>
      </c>
      <c r="C924" t="s">
        <v>150</v>
      </c>
      <c r="D924" t="s">
        <v>48</v>
      </c>
      <c r="E924" t="s">
        <v>185</v>
      </c>
      <c r="F924" t="s">
        <v>568</v>
      </c>
      <c r="G924">
        <v>-140790</v>
      </c>
      <c r="H924" t="s">
        <v>153</v>
      </c>
      <c r="I924" t="s">
        <v>164</v>
      </c>
    </row>
    <row r="925" spans="1:9">
      <c r="A925" s="49">
        <v>45980</v>
      </c>
      <c r="B925" s="50">
        <v>0.7174421296296296</v>
      </c>
      <c r="C925" t="s">
        <v>150</v>
      </c>
      <c r="D925" t="s">
        <v>49</v>
      </c>
      <c r="E925" t="s">
        <v>304</v>
      </c>
      <c r="F925" t="s">
        <v>568</v>
      </c>
      <c r="G925">
        <v>-140790</v>
      </c>
      <c r="H925" t="s">
        <v>153</v>
      </c>
      <c r="I925" t="s">
        <v>157</v>
      </c>
    </row>
    <row r="926" spans="1:9">
      <c r="A926" s="49">
        <v>45980</v>
      </c>
      <c r="B926" s="50">
        <v>0.4856018518518518</v>
      </c>
      <c r="C926" t="s">
        <v>155</v>
      </c>
      <c r="D926" t="s">
        <v>155</v>
      </c>
      <c r="E926" t="s">
        <v>32</v>
      </c>
      <c r="F926" t="s">
        <v>588</v>
      </c>
      <c r="G926">
        <v>499000</v>
      </c>
      <c r="H926" t="s">
        <v>153</v>
      </c>
      <c r="I926" t="s">
        <v>64</v>
      </c>
    </row>
    <row r="927" spans="1:9">
      <c r="A927" s="49">
        <v>45980</v>
      </c>
      <c r="B927" s="50">
        <v>0.3973611111111111</v>
      </c>
      <c r="C927" t="s">
        <v>150</v>
      </c>
      <c r="D927" t="s">
        <v>49</v>
      </c>
      <c r="E927" t="s">
        <v>304</v>
      </c>
      <c r="F927" t="s">
        <v>568</v>
      </c>
      <c r="G927">
        <v>-417858</v>
      </c>
      <c r="H927" t="s">
        <v>153</v>
      </c>
      <c r="I927" t="s">
        <v>164</v>
      </c>
    </row>
    <row r="928" spans="1:9">
      <c r="A928" s="49">
        <v>45980</v>
      </c>
      <c r="B928" s="50">
        <v>0.3973148148148148</v>
      </c>
      <c r="C928" t="s">
        <v>155</v>
      </c>
      <c r="D928" t="s">
        <v>155</v>
      </c>
      <c r="E928" t="s">
        <v>32</v>
      </c>
      <c r="F928" t="s">
        <v>160</v>
      </c>
      <c r="G928">
        <v>-334177</v>
      </c>
      <c r="H928" t="s">
        <v>153</v>
      </c>
      <c r="I928" t="s">
        <v>64</v>
      </c>
    </row>
    <row r="929" spans="1:9">
      <c r="A929" s="49">
        <v>45979</v>
      </c>
      <c r="B929" s="50">
        <v>0.8094675925925926</v>
      </c>
      <c r="C929" t="s">
        <v>155</v>
      </c>
      <c r="D929" t="s">
        <v>155</v>
      </c>
      <c r="E929" t="s">
        <v>32</v>
      </c>
      <c r="F929" t="s">
        <v>589</v>
      </c>
      <c r="G929">
        <v>499000</v>
      </c>
      <c r="H929" t="s">
        <v>153</v>
      </c>
      <c r="I929" t="s">
        <v>64</v>
      </c>
    </row>
    <row r="930" spans="1:9">
      <c r="A930" s="49">
        <v>45979</v>
      </c>
      <c r="B930" s="50">
        <v>0.737175925925926</v>
      </c>
      <c r="C930" t="s">
        <v>150</v>
      </c>
      <c r="D930" t="s">
        <v>48</v>
      </c>
      <c r="E930" t="s">
        <v>196</v>
      </c>
      <c r="F930" t="s">
        <v>197</v>
      </c>
      <c r="G930">
        <v>-2700</v>
      </c>
      <c r="H930" t="s">
        <v>153</v>
      </c>
      <c r="I930" t="s">
        <v>214</v>
      </c>
    </row>
    <row r="931" spans="1:9">
      <c r="A931" s="49">
        <v>45979</v>
      </c>
      <c r="B931" s="50">
        <v>0.7356597222222222</v>
      </c>
      <c r="C931" t="s">
        <v>150</v>
      </c>
      <c r="D931" t="s">
        <v>48</v>
      </c>
      <c r="E931" t="s">
        <v>196</v>
      </c>
      <c r="F931" t="s">
        <v>197</v>
      </c>
      <c r="G931">
        <v>-9000</v>
      </c>
      <c r="H931" t="s">
        <v>153</v>
      </c>
      <c r="I931" t="s">
        <v>214</v>
      </c>
    </row>
    <row r="932" spans="1:9">
      <c r="A932" s="49">
        <v>45979</v>
      </c>
      <c r="B932" s="50">
        <v>0.5677546296296296</v>
      </c>
      <c r="C932" t="s">
        <v>150</v>
      </c>
      <c r="D932" t="s">
        <v>36</v>
      </c>
      <c r="E932" t="s">
        <v>191</v>
      </c>
      <c r="F932" t="s">
        <v>192</v>
      </c>
      <c r="G932">
        <v>-15150</v>
      </c>
      <c r="H932" t="s">
        <v>153</v>
      </c>
      <c r="I932" t="s">
        <v>157</v>
      </c>
    </row>
    <row r="933" spans="1:9">
      <c r="A933" s="49">
        <v>45979</v>
      </c>
      <c r="B933" s="50">
        <v>0.5647222222222222</v>
      </c>
      <c r="C933" t="s">
        <v>167</v>
      </c>
      <c r="D933" t="s">
        <v>31</v>
      </c>
      <c r="E933" t="s">
        <v>32</v>
      </c>
      <c r="F933" t="s">
        <v>168</v>
      </c>
      <c r="G933">
        <v>3000</v>
      </c>
      <c r="H933" t="s">
        <v>153</v>
      </c>
      <c r="I933" t="s">
        <v>64</v>
      </c>
    </row>
    <row r="934" spans="1:9">
      <c r="A934" s="49">
        <v>45979</v>
      </c>
      <c r="B934" s="50">
        <v>0.564699074074074</v>
      </c>
      <c r="C934" t="s">
        <v>150</v>
      </c>
      <c r="D934" t="s">
        <v>35</v>
      </c>
      <c r="E934" t="s">
        <v>169</v>
      </c>
      <c r="F934" t="s">
        <v>170</v>
      </c>
      <c r="G934">
        <v>-690</v>
      </c>
      <c r="H934" t="s">
        <v>153</v>
      </c>
      <c r="I934" t="s">
        <v>171</v>
      </c>
    </row>
    <row r="935" spans="1:9">
      <c r="A935" s="49">
        <v>45979</v>
      </c>
      <c r="B935" s="50">
        <v>0.5627662037037037</v>
      </c>
      <c r="C935" t="s">
        <v>150</v>
      </c>
      <c r="D935" t="s">
        <v>35</v>
      </c>
      <c r="E935" t="s">
        <v>169</v>
      </c>
      <c r="F935" t="s">
        <v>170</v>
      </c>
      <c r="G935">
        <v>3000</v>
      </c>
      <c r="H935" t="s">
        <v>153</v>
      </c>
      <c r="I935" t="s">
        <v>171</v>
      </c>
    </row>
    <row r="936" spans="1:9">
      <c r="A936" s="49">
        <v>45979</v>
      </c>
      <c r="B936" s="50">
        <v>0.5627662037037037</v>
      </c>
      <c r="C936" t="s">
        <v>150</v>
      </c>
      <c r="D936" t="s">
        <v>40</v>
      </c>
      <c r="E936" t="s">
        <v>172</v>
      </c>
      <c r="F936" t="s">
        <v>173</v>
      </c>
      <c r="G936">
        <v>-3000</v>
      </c>
      <c r="H936" t="s">
        <v>153</v>
      </c>
      <c r="I936" t="s">
        <v>64</v>
      </c>
    </row>
    <row r="937" spans="1:9">
      <c r="A937" s="49">
        <v>45979</v>
      </c>
      <c r="B937" s="50">
        <v>0.5422685185185185</v>
      </c>
      <c r="C937" t="s">
        <v>155</v>
      </c>
      <c r="D937" t="s">
        <v>155</v>
      </c>
      <c r="E937" t="s">
        <v>32</v>
      </c>
      <c r="F937" t="s">
        <v>590</v>
      </c>
      <c r="G937">
        <v>190000</v>
      </c>
      <c r="H937" t="s">
        <v>153</v>
      </c>
      <c r="I937" t="s">
        <v>64</v>
      </c>
    </row>
    <row r="938" spans="1:9">
      <c r="A938" s="49">
        <v>45979</v>
      </c>
      <c r="B938" s="50">
        <v>0.5240393518518518</v>
      </c>
      <c r="C938" t="s">
        <v>167</v>
      </c>
      <c r="D938" t="s">
        <v>31</v>
      </c>
      <c r="E938" t="s">
        <v>32</v>
      </c>
      <c r="F938" t="s">
        <v>168</v>
      </c>
      <c r="G938">
        <v>3000</v>
      </c>
      <c r="H938" t="s">
        <v>153</v>
      </c>
      <c r="I938" t="s">
        <v>64</v>
      </c>
    </row>
    <row r="939" spans="1:9">
      <c r="A939" s="49">
        <v>45979</v>
      </c>
      <c r="B939" s="50">
        <v>0.5240162037037037</v>
      </c>
      <c r="C939" t="s">
        <v>150</v>
      </c>
      <c r="D939" t="s">
        <v>35</v>
      </c>
      <c r="E939" t="s">
        <v>169</v>
      </c>
      <c r="F939" t="s">
        <v>170</v>
      </c>
      <c r="G939">
        <v>-920</v>
      </c>
      <c r="H939" t="s">
        <v>153</v>
      </c>
      <c r="I939" t="s">
        <v>171</v>
      </c>
    </row>
    <row r="940" spans="1:9">
      <c r="A940" s="49">
        <v>45979</v>
      </c>
      <c r="B940" s="50">
        <v>0.5218634259259259</v>
      </c>
      <c r="C940" t="s">
        <v>150</v>
      </c>
      <c r="D940" t="s">
        <v>35</v>
      </c>
      <c r="E940" t="s">
        <v>169</v>
      </c>
      <c r="F940" t="s">
        <v>170</v>
      </c>
      <c r="G940">
        <v>3000</v>
      </c>
      <c r="H940" t="s">
        <v>153</v>
      </c>
      <c r="I940" t="s">
        <v>171</v>
      </c>
    </row>
    <row r="941" spans="1:9">
      <c r="A941" s="49">
        <v>45979</v>
      </c>
      <c r="B941" s="50">
        <v>0.5218634259259259</v>
      </c>
      <c r="C941" t="s">
        <v>150</v>
      </c>
      <c r="D941" t="s">
        <v>40</v>
      </c>
      <c r="E941" t="s">
        <v>172</v>
      </c>
      <c r="F941" t="s">
        <v>173</v>
      </c>
      <c r="G941">
        <v>-3000</v>
      </c>
      <c r="H941" t="s">
        <v>153</v>
      </c>
      <c r="I941" t="s">
        <v>64</v>
      </c>
    </row>
    <row r="942" spans="1:9">
      <c r="A942" s="49">
        <v>45979</v>
      </c>
      <c r="B942" s="50">
        <v>0.4840740740740741</v>
      </c>
      <c r="C942" t="s">
        <v>155</v>
      </c>
      <c r="D942" t="s">
        <v>155</v>
      </c>
      <c r="E942" t="s">
        <v>32</v>
      </c>
      <c r="F942" t="s">
        <v>591</v>
      </c>
      <c r="G942">
        <v>120000</v>
      </c>
      <c r="H942" t="s">
        <v>153</v>
      </c>
      <c r="I942" t="s">
        <v>64</v>
      </c>
    </row>
    <row r="943" spans="1:9">
      <c r="A943" s="49">
        <v>45979</v>
      </c>
      <c r="B943" s="50">
        <v>0.4742476851851852</v>
      </c>
      <c r="C943" t="s">
        <v>155</v>
      </c>
      <c r="D943" t="s">
        <v>158</v>
      </c>
      <c r="E943" t="s">
        <v>32</v>
      </c>
      <c r="F943" t="s">
        <v>7</v>
      </c>
      <c r="G943">
        <v>740200</v>
      </c>
      <c r="H943" t="s">
        <v>153</v>
      </c>
      <c r="I943" t="s">
        <v>64</v>
      </c>
    </row>
    <row r="944" spans="1:9">
      <c r="A944" s="49">
        <v>45979</v>
      </c>
      <c r="B944" s="50">
        <v>0.4734953703703704</v>
      </c>
      <c r="C944" t="s">
        <v>150</v>
      </c>
      <c r="D944" t="s">
        <v>44</v>
      </c>
      <c r="E944" t="s">
        <v>260</v>
      </c>
      <c r="F944" t="s">
        <v>261</v>
      </c>
      <c r="G944">
        <v>-750000</v>
      </c>
      <c r="H944" t="s">
        <v>153</v>
      </c>
      <c r="I944" t="s">
        <v>64</v>
      </c>
    </row>
    <row r="945" spans="1:9">
      <c r="A945" s="49">
        <v>45979</v>
      </c>
      <c r="B945" s="50">
        <v>0.4674652777777778</v>
      </c>
      <c r="C945" t="s">
        <v>155</v>
      </c>
      <c r="D945" t="s">
        <v>229</v>
      </c>
      <c r="E945" t="s">
        <v>32</v>
      </c>
      <c r="F945" t="s">
        <v>565</v>
      </c>
      <c r="G945">
        <v>57015</v>
      </c>
      <c r="H945" t="s">
        <v>153</v>
      </c>
      <c r="I945" t="s">
        <v>64</v>
      </c>
    </row>
    <row r="946" spans="1:9">
      <c r="A946" s="49">
        <v>45979</v>
      </c>
      <c r="B946" s="50">
        <v>0.4641782407407408</v>
      </c>
      <c r="C946" t="s">
        <v>155</v>
      </c>
      <c r="D946" t="s">
        <v>158</v>
      </c>
      <c r="E946" t="s">
        <v>32</v>
      </c>
      <c r="F946" t="s">
        <v>7</v>
      </c>
      <c r="G946">
        <v>500000</v>
      </c>
      <c r="H946" t="s">
        <v>153</v>
      </c>
      <c r="I946" t="s">
        <v>64</v>
      </c>
    </row>
    <row r="947" spans="1:9">
      <c r="A947" s="49">
        <v>45979</v>
      </c>
      <c r="B947" s="50">
        <v>0.4638425925925926</v>
      </c>
      <c r="C947" t="s">
        <v>150</v>
      </c>
      <c r="D947" t="s">
        <v>44</v>
      </c>
      <c r="E947" t="s">
        <v>260</v>
      </c>
      <c r="F947" t="s">
        <v>261</v>
      </c>
      <c r="G947">
        <v>-500000</v>
      </c>
      <c r="H947" t="s">
        <v>153</v>
      </c>
      <c r="I947" t="s">
        <v>64</v>
      </c>
    </row>
    <row r="948" spans="1:9">
      <c r="A948" s="49">
        <v>45979</v>
      </c>
      <c r="B948" s="50">
        <v>0.4089351851851852</v>
      </c>
      <c r="C948" t="s">
        <v>155</v>
      </c>
      <c r="D948" t="s">
        <v>155</v>
      </c>
      <c r="E948" t="s">
        <v>32</v>
      </c>
      <c r="F948" t="s">
        <v>466</v>
      </c>
      <c r="G948">
        <v>399200</v>
      </c>
      <c r="H948" t="s">
        <v>153</v>
      </c>
      <c r="I948" t="s">
        <v>64</v>
      </c>
    </row>
    <row r="949" spans="1:9">
      <c r="A949" s="49">
        <v>45979</v>
      </c>
      <c r="B949" s="50">
        <v>0.406412037037037</v>
      </c>
      <c r="C949" t="s">
        <v>155</v>
      </c>
      <c r="D949" t="s">
        <v>155</v>
      </c>
      <c r="E949" t="s">
        <v>32</v>
      </c>
      <c r="F949" t="s">
        <v>591</v>
      </c>
      <c r="G949">
        <v>279200</v>
      </c>
      <c r="H949" t="s">
        <v>153</v>
      </c>
      <c r="I949" t="s">
        <v>64</v>
      </c>
    </row>
    <row r="950" spans="1:9">
      <c r="A950" s="49">
        <v>45978</v>
      </c>
      <c r="B950" s="50">
        <v>0.2723611111111111</v>
      </c>
      <c r="C950" t="s">
        <v>150</v>
      </c>
      <c r="D950" t="s">
        <v>40</v>
      </c>
      <c r="E950" t="s">
        <v>380</v>
      </c>
      <c r="F950" t="s">
        <v>381</v>
      </c>
      <c r="G950">
        <v>-2700</v>
      </c>
      <c r="H950" t="s">
        <v>153</v>
      </c>
      <c r="I950" t="s">
        <v>164</v>
      </c>
    </row>
    <row r="951" spans="1:9">
      <c r="A951" s="49">
        <v>45977</v>
      </c>
      <c r="B951" s="50">
        <v>0.8321296296296297</v>
      </c>
      <c r="C951" t="s">
        <v>150</v>
      </c>
      <c r="D951" t="s">
        <v>42</v>
      </c>
      <c r="E951" t="s">
        <v>177</v>
      </c>
      <c r="F951" t="s">
        <v>520</v>
      </c>
      <c r="G951">
        <v>-69000</v>
      </c>
      <c r="H951" t="s">
        <v>153</v>
      </c>
      <c r="I951" t="s">
        <v>214</v>
      </c>
    </row>
    <row r="952" spans="1:9">
      <c r="A952" s="49">
        <v>45977</v>
      </c>
      <c r="B952" s="50">
        <v>0.612349537037037</v>
      </c>
      <c r="C952" t="s">
        <v>155</v>
      </c>
      <c r="D952" t="s">
        <v>155</v>
      </c>
      <c r="E952" t="s">
        <v>32</v>
      </c>
      <c r="F952" t="s">
        <v>592</v>
      </c>
      <c r="G952">
        <v>499000</v>
      </c>
      <c r="H952" t="s">
        <v>153</v>
      </c>
      <c r="I952" t="s">
        <v>64</v>
      </c>
    </row>
    <row r="953" spans="1:9">
      <c r="A953" s="49">
        <v>45977</v>
      </c>
      <c r="B953" s="50">
        <v>0.5544097222222222</v>
      </c>
      <c r="C953" t="s">
        <v>150</v>
      </c>
      <c r="D953" t="s">
        <v>42</v>
      </c>
      <c r="E953" t="s">
        <v>593</v>
      </c>
      <c r="F953" t="s">
        <v>594</v>
      </c>
      <c r="G953">
        <v>-29000</v>
      </c>
      <c r="H953" t="s">
        <v>153</v>
      </c>
      <c r="I953" t="s">
        <v>214</v>
      </c>
    </row>
    <row r="954" spans="1:9">
      <c r="A954" s="49">
        <v>45977</v>
      </c>
      <c r="B954" s="50">
        <v>0.08822916666666666</v>
      </c>
      <c r="C954" t="s">
        <v>150</v>
      </c>
      <c r="D954" t="s">
        <v>35</v>
      </c>
      <c r="E954" t="s">
        <v>169</v>
      </c>
      <c r="F954" t="s">
        <v>563</v>
      </c>
      <c r="G954">
        <v>-3250</v>
      </c>
      <c r="H954" t="s">
        <v>153</v>
      </c>
      <c r="I954" t="s">
        <v>164</v>
      </c>
    </row>
    <row r="955" spans="1:9">
      <c r="A955" s="49">
        <v>45976</v>
      </c>
      <c r="B955" s="50">
        <v>0.9817708333333334</v>
      </c>
      <c r="C955" t="s">
        <v>150</v>
      </c>
      <c r="D955" t="s">
        <v>44</v>
      </c>
      <c r="E955" t="s">
        <v>162</v>
      </c>
      <c r="F955" t="s">
        <v>595</v>
      </c>
      <c r="G955">
        <v>-6000</v>
      </c>
      <c r="H955" t="s">
        <v>153</v>
      </c>
      <c r="I955" t="s">
        <v>64</v>
      </c>
    </row>
    <row r="956" spans="1:9">
      <c r="A956" s="49">
        <v>45976</v>
      </c>
      <c r="B956" s="50">
        <v>0.7990046296296296</v>
      </c>
      <c r="C956" t="s">
        <v>150</v>
      </c>
      <c r="D956" t="s">
        <v>42</v>
      </c>
      <c r="E956" t="s">
        <v>177</v>
      </c>
      <c r="F956" t="s">
        <v>596</v>
      </c>
      <c r="G956">
        <v>-20000</v>
      </c>
      <c r="H956" t="s">
        <v>153</v>
      </c>
      <c r="I956" t="s">
        <v>214</v>
      </c>
    </row>
    <row r="957" spans="1:9">
      <c r="A957" s="49">
        <v>45976</v>
      </c>
      <c r="B957" s="50">
        <v>0.5008449074074074</v>
      </c>
      <c r="C957" t="s">
        <v>150</v>
      </c>
      <c r="D957" t="s">
        <v>40</v>
      </c>
      <c r="E957" t="s">
        <v>380</v>
      </c>
      <c r="F957" t="s">
        <v>381</v>
      </c>
      <c r="G957">
        <v>-4500</v>
      </c>
      <c r="H957" t="s">
        <v>153</v>
      </c>
      <c r="I957" t="s">
        <v>164</v>
      </c>
    </row>
    <row r="958" spans="1:9">
      <c r="A958" s="49">
        <v>45976</v>
      </c>
      <c r="B958" s="50">
        <v>0.3337962962962963</v>
      </c>
      <c r="C958" t="s">
        <v>150</v>
      </c>
      <c r="D958" t="s">
        <v>36</v>
      </c>
      <c r="E958" t="s">
        <v>342</v>
      </c>
      <c r="F958" t="s">
        <v>533</v>
      </c>
      <c r="G958">
        <v>-5300</v>
      </c>
      <c r="H958" t="s">
        <v>153</v>
      </c>
      <c r="I958" t="s">
        <v>64</v>
      </c>
    </row>
    <row r="959" spans="1:9">
      <c r="A959" s="49">
        <v>45976</v>
      </c>
      <c r="B959" s="50">
        <v>0.02533564814814815</v>
      </c>
      <c r="C959" t="s">
        <v>150</v>
      </c>
      <c r="D959" t="s">
        <v>40</v>
      </c>
      <c r="E959" t="s">
        <v>172</v>
      </c>
      <c r="F959" t="s">
        <v>379</v>
      </c>
      <c r="G959">
        <v>-2900</v>
      </c>
      <c r="H959" t="s">
        <v>153</v>
      </c>
      <c r="I959" t="s">
        <v>214</v>
      </c>
    </row>
    <row r="960" spans="1:9">
      <c r="A960" s="49">
        <v>45975</v>
      </c>
      <c r="B960" s="50">
        <v>0.9534722222222223</v>
      </c>
      <c r="C960" t="s">
        <v>155</v>
      </c>
      <c r="D960" t="s">
        <v>155</v>
      </c>
      <c r="E960" t="s">
        <v>32</v>
      </c>
      <c r="F960" t="s">
        <v>156</v>
      </c>
      <c r="G960">
        <v>108900</v>
      </c>
      <c r="H960" t="s">
        <v>153</v>
      </c>
      <c r="I960" t="s">
        <v>157</v>
      </c>
    </row>
    <row r="961" spans="1:9">
      <c r="A961" s="49">
        <v>45975</v>
      </c>
      <c r="B961" s="50">
        <v>0.8842476851851852</v>
      </c>
      <c r="C961" t="s">
        <v>150</v>
      </c>
      <c r="D961" t="s">
        <v>40</v>
      </c>
      <c r="E961" t="s">
        <v>172</v>
      </c>
      <c r="F961" t="s">
        <v>405</v>
      </c>
      <c r="G961">
        <v>0</v>
      </c>
      <c r="H961" t="s">
        <v>153</v>
      </c>
      <c r="I961" t="s">
        <v>164</v>
      </c>
    </row>
    <row r="962" spans="1:9">
      <c r="A962" s="49">
        <v>45975</v>
      </c>
      <c r="B962" s="50">
        <v>0.760162037037037</v>
      </c>
      <c r="C962" t="s">
        <v>155</v>
      </c>
      <c r="D962" t="s">
        <v>229</v>
      </c>
      <c r="E962" t="s">
        <v>32</v>
      </c>
      <c r="F962" t="s">
        <v>565</v>
      </c>
      <c r="G962">
        <v>129050</v>
      </c>
      <c r="H962" t="s">
        <v>153</v>
      </c>
      <c r="I962" t="s">
        <v>64</v>
      </c>
    </row>
    <row r="963" spans="1:9">
      <c r="A963" s="49">
        <v>45975</v>
      </c>
      <c r="B963" s="50">
        <v>0.5675578703703704</v>
      </c>
      <c r="C963" t="s">
        <v>150</v>
      </c>
      <c r="D963" t="s">
        <v>49</v>
      </c>
      <c r="E963" t="s">
        <v>304</v>
      </c>
      <c r="F963" t="s">
        <v>565</v>
      </c>
      <c r="G963">
        <v>-36890</v>
      </c>
      <c r="H963" t="s">
        <v>153</v>
      </c>
      <c r="I963" t="s">
        <v>171</v>
      </c>
    </row>
    <row r="964" spans="1:9">
      <c r="A964" s="49">
        <v>45975</v>
      </c>
      <c r="B964" s="50">
        <v>0.5500810185185185</v>
      </c>
      <c r="C964" t="s">
        <v>155</v>
      </c>
      <c r="D964" t="s">
        <v>155</v>
      </c>
      <c r="E964" t="s">
        <v>32</v>
      </c>
      <c r="F964" t="s">
        <v>597</v>
      </c>
      <c r="G964">
        <v>780000</v>
      </c>
      <c r="H964" t="s">
        <v>153</v>
      </c>
      <c r="I964" t="s">
        <v>64</v>
      </c>
    </row>
    <row r="965" spans="1:9">
      <c r="A965" s="49">
        <v>45975</v>
      </c>
      <c r="B965" s="50">
        <v>0.4130787037037037</v>
      </c>
      <c r="C965" t="s">
        <v>150</v>
      </c>
      <c r="D965" t="s">
        <v>49</v>
      </c>
      <c r="E965" t="s">
        <v>304</v>
      </c>
      <c r="F965" t="s">
        <v>565</v>
      </c>
      <c r="G965">
        <v>-46720</v>
      </c>
      <c r="H965" t="s">
        <v>153</v>
      </c>
      <c r="I965" t="s">
        <v>171</v>
      </c>
    </row>
    <row r="966" spans="1:9">
      <c r="A966" s="49">
        <v>45975</v>
      </c>
      <c r="B966" s="50">
        <v>0.3948726851851852</v>
      </c>
      <c r="C966" t="s">
        <v>150</v>
      </c>
      <c r="D966" t="s">
        <v>44</v>
      </c>
      <c r="E966" t="s">
        <v>162</v>
      </c>
      <c r="F966" t="s">
        <v>163</v>
      </c>
      <c r="G966">
        <v>-3900</v>
      </c>
      <c r="H966" t="s">
        <v>153</v>
      </c>
      <c r="I966" t="s">
        <v>164</v>
      </c>
    </row>
    <row r="967" spans="1:9">
      <c r="A967" s="49">
        <v>45975</v>
      </c>
      <c r="B967" s="50">
        <v>0.3941666666666667</v>
      </c>
      <c r="C967" t="s">
        <v>150</v>
      </c>
      <c r="D967" t="s">
        <v>49</v>
      </c>
      <c r="E967" t="s">
        <v>304</v>
      </c>
      <c r="F967" t="s">
        <v>565</v>
      </c>
      <c r="G967">
        <v>-45900</v>
      </c>
      <c r="H967" t="s">
        <v>153</v>
      </c>
      <c r="I967" t="s">
        <v>171</v>
      </c>
    </row>
    <row r="968" spans="1:9">
      <c r="A968" s="49">
        <v>45975</v>
      </c>
      <c r="B968" s="50">
        <v>0.06822916666666666</v>
      </c>
      <c r="C968" t="s">
        <v>155</v>
      </c>
      <c r="D968" t="s">
        <v>158</v>
      </c>
      <c r="E968" t="s">
        <v>32</v>
      </c>
      <c r="F968" t="s">
        <v>7</v>
      </c>
      <c r="G968">
        <v>392967</v>
      </c>
      <c r="H968" t="s">
        <v>153</v>
      </c>
      <c r="I968" t="s">
        <v>64</v>
      </c>
    </row>
    <row r="969" spans="1:9">
      <c r="A969" s="49">
        <v>45975</v>
      </c>
      <c r="B969" s="50">
        <v>0.01831018518518519</v>
      </c>
      <c r="C969" t="s">
        <v>155</v>
      </c>
      <c r="D969" t="s">
        <v>155</v>
      </c>
      <c r="E969" t="s">
        <v>32</v>
      </c>
      <c r="F969" t="s">
        <v>597</v>
      </c>
      <c r="G969">
        <v>390000</v>
      </c>
      <c r="H969" t="s">
        <v>153</v>
      </c>
      <c r="I969" t="s">
        <v>64</v>
      </c>
    </row>
    <row r="970" spans="1:9">
      <c r="A970" s="49">
        <v>45974</v>
      </c>
      <c r="B970" s="50">
        <v>0.8666087962962963</v>
      </c>
      <c r="C970" t="s">
        <v>150</v>
      </c>
      <c r="D970" t="s">
        <v>42</v>
      </c>
      <c r="E970" t="s">
        <v>177</v>
      </c>
      <c r="F970" t="s">
        <v>598</v>
      </c>
      <c r="G970">
        <v>-27800</v>
      </c>
      <c r="H970" t="s">
        <v>153</v>
      </c>
      <c r="I970" t="s">
        <v>214</v>
      </c>
    </row>
    <row r="971" spans="1:9">
      <c r="A971" s="49">
        <v>45974</v>
      </c>
      <c r="B971" s="50">
        <v>0.7225115740740741</v>
      </c>
      <c r="C971" t="s">
        <v>167</v>
      </c>
      <c r="D971" t="s">
        <v>29</v>
      </c>
      <c r="E971" t="s">
        <v>32</v>
      </c>
      <c r="F971" t="s">
        <v>302</v>
      </c>
      <c r="G971">
        <v>100000</v>
      </c>
      <c r="H971" t="s">
        <v>153</v>
      </c>
      <c r="I971" t="s">
        <v>64</v>
      </c>
    </row>
    <row r="972" spans="1:9">
      <c r="A972" s="49">
        <v>45974</v>
      </c>
      <c r="B972" s="50">
        <v>0.7216550925925926</v>
      </c>
      <c r="C972" t="s">
        <v>167</v>
      </c>
      <c r="D972" t="s">
        <v>28</v>
      </c>
      <c r="E972" t="s">
        <v>32</v>
      </c>
      <c r="F972" t="s">
        <v>535</v>
      </c>
      <c r="G972">
        <v>400000</v>
      </c>
      <c r="H972" t="s">
        <v>153</v>
      </c>
      <c r="I972" t="s">
        <v>64</v>
      </c>
    </row>
    <row r="973" spans="1:9">
      <c r="A973" s="49">
        <v>45974</v>
      </c>
      <c r="B973" s="50">
        <v>0.6910995370370371</v>
      </c>
      <c r="C973" t="s">
        <v>150</v>
      </c>
      <c r="D973" t="s">
        <v>49</v>
      </c>
      <c r="E973" t="s">
        <v>304</v>
      </c>
      <c r="F973" t="s">
        <v>565</v>
      </c>
      <c r="G973">
        <v>-68400</v>
      </c>
      <c r="H973" t="s">
        <v>153</v>
      </c>
      <c r="I973" t="s">
        <v>171</v>
      </c>
    </row>
    <row r="974" spans="1:9">
      <c r="A974" s="49">
        <v>45974</v>
      </c>
      <c r="B974" s="50">
        <v>0.6885532407407408</v>
      </c>
      <c r="C974" t="s">
        <v>150</v>
      </c>
      <c r="D974" t="s">
        <v>48</v>
      </c>
      <c r="E974" t="s">
        <v>196</v>
      </c>
      <c r="F974" t="s">
        <v>197</v>
      </c>
      <c r="G974">
        <v>-10000</v>
      </c>
      <c r="H974" t="s">
        <v>153</v>
      </c>
      <c r="I974" t="s">
        <v>214</v>
      </c>
    </row>
    <row r="975" spans="1:9">
      <c r="A975" s="49">
        <v>45974</v>
      </c>
      <c r="B975" s="50">
        <v>0.6880208333333333</v>
      </c>
      <c r="C975" t="s">
        <v>150</v>
      </c>
      <c r="D975" t="s">
        <v>48</v>
      </c>
      <c r="E975" t="s">
        <v>196</v>
      </c>
      <c r="F975" t="s">
        <v>197</v>
      </c>
      <c r="G975">
        <v>-10000</v>
      </c>
      <c r="H975" t="s">
        <v>153</v>
      </c>
      <c r="I975" t="s">
        <v>214</v>
      </c>
    </row>
    <row r="976" spans="1:9">
      <c r="A976" s="49">
        <v>45974</v>
      </c>
      <c r="B976" s="50">
        <v>0.6641319444444445</v>
      </c>
      <c r="C976" t="s">
        <v>150</v>
      </c>
      <c r="D976" t="s">
        <v>40</v>
      </c>
      <c r="E976" t="s">
        <v>172</v>
      </c>
      <c r="F976" t="s">
        <v>379</v>
      </c>
      <c r="G976">
        <v>-5000</v>
      </c>
      <c r="H976" t="s">
        <v>153</v>
      </c>
      <c r="I976" t="s">
        <v>214</v>
      </c>
    </row>
    <row r="977" spans="1:9">
      <c r="A977" s="49">
        <v>45974</v>
      </c>
      <c r="B977" s="50">
        <v>0.6057523148148148</v>
      </c>
      <c r="C977" t="s">
        <v>150</v>
      </c>
      <c r="D977" t="s">
        <v>49</v>
      </c>
      <c r="E977" t="s">
        <v>304</v>
      </c>
      <c r="F977" t="s">
        <v>565</v>
      </c>
      <c r="G977">
        <v>-75000</v>
      </c>
      <c r="H977" t="s">
        <v>153</v>
      </c>
      <c r="I977" t="s">
        <v>171</v>
      </c>
    </row>
    <row r="978" spans="1:9">
      <c r="A978" s="49">
        <v>45974</v>
      </c>
      <c r="B978" s="50">
        <v>0.5557638888888888</v>
      </c>
      <c r="C978" t="s">
        <v>155</v>
      </c>
      <c r="D978" t="s">
        <v>155</v>
      </c>
      <c r="E978" t="s">
        <v>32</v>
      </c>
      <c r="F978" t="s">
        <v>599</v>
      </c>
      <c r="G978">
        <v>499000</v>
      </c>
      <c r="H978" t="s">
        <v>153</v>
      </c>
      <c r="I978" t="s">
        <v>64</v>
      </c>
    </row>
    <row r="979" spans="1:9">
      <c r="A979" s="49">
        <v>45974</v>
      </c>
      <c r="B979" s="50">
        <v>0.4871527777777778</v>
      </c>
      <c r="C979" t="s">
        <v>150</v>
      </c>
      <c r="D979" t="s">
        <v>42</v>
      </c>
      <c r="E979" t="s">
        <v>374</v>
      </c>
      <c r="F979" t="s">
        <v>375</v>
      </c>
      <c r="G979">
        <v>-40000</v>
      </c>
      <c r="H979" t="s">
        <v>153</v>
      </c>
      <c r="I979" t="s">
        <v>214</v>
      </c>
    </row>
    <row r="980" spans="1:9">
      <c r="A980" s="49">
        <v>45974</v>
      </c>
      <c r="B980" s="50">
        <v>0.3992361111111111</v>
      </c>
      <c r="C980" t="s">
        <v>150</v>
      </c>
      <c r="D980" t="s">
        <v>42</v>
      </c>
      <c r="E980" t="s">
        <v>374</v>
      </c>
      <c r="F980" t="s">
        <v>375</v>
      </c>
      <c r="G980">
        <v>-2000</v>
      </c>
      <c r="H980" t="s">
        <v>153</v>
      </c>
      <c r="I980" t="s">
        <v>214</v>
      </c>
    </row>
    <row r="981" spans="1:9">
      <c r="A981" s="49">
        <v>45974</v>
      </c>
      <c r="B981" s="50">
        <v>0.1218865740740741</v>
      </c>
      <c r="C981" t="s">
        <v>150</v>
      </c>
      <c r="D981" t="s">
        <v>49</v>
      </c>
      <c r="E981" t="s">
        <v>304</v>
      </c>
      <c r="F981" t="s">
        <v>565</v>
      </c>
      <c r="G981">
        <v>-59050</v>
      </c>
      <c r="H981" t="s">
        <v>153</v>
      </c>
      <c r="I981" t="s">
        <v>171</v>
      </c>
    </row>
    <row r="982" spans="1:9">
      <c r="A982" s="49">
        <v>45974</v>
      </c>
      <c r="B982" s="50">
        <v>0.115150462962963</v>
      </c>
      <c r="C982" t="s">
        <v>150</v>
      </c>
      <c r="D982" t="s">
        <v>49</v>
      </c>
      <c r="E982" t="s">
        <v>304</v>
      </c>
      <c r="F982" t="s">
        <v>565</v>
      </c>
      <c r="G982">
        <v>-39920</v>
      </c>
      <c r="H982" t="s">
        <v>153</v>
      </c>
      <c r="I982" t="s">
        <v>171</v>
      </c>
    </row>
    <row r="983" spans="1:9">
      <c r="A983" s="49">
        <v>45973</v>
      </c>
      <c r="B983" s="50">
        <v>0.8727199074074075</v>
      </c>
      <c r="C983" t="s">
        <v>150</v>
      </c>
      <c r="D983" t="s">
        <v>44</v>
      </c>
      <c r="E983" t="s">
        <v>225</v>
      </c>
      <c r="F983" t="s">
        <v>228</v>
      </c>
      <c r="G983">
        <v>-15884</v>
      </c>
      <c r="H983" t="s">
        <v>153</v>
      </c>
      <c r="I983" t="s">
        <v>214</v>
      </c>
    </row>
    <row r="984" spans="1:9">
      <c r="A984" s="49">
        <v>45973</v>
      </c>
      <c r="B984" s="50">
        <v>0.7774074074074074</v>
      </c>
      <c r="C984" t="s">
        <v>150</v>
      </c>
      <c r="D984" t="s">
        <v>48</v>
      </c>
      <c r="E984" t="s">
        <v>196</v>
      </c>
      <c r="F984" t="s">
        <v>197</v>
      </c>
      <c r="G984">
        <v>-8000</v>
      </c>
      <c r="H984" t="s">
        <v>153</v>
      </c>
      <c r="I984" t="s">
        <v>214</v>
      </c>
    </row>
    <row r="985" spans="1:9">
      <c r="A985" s="49">
        <v>45973</v>
      </c>
      <c r="B985" s="50">
        <v>0.5716782407407407</v>
      </c>
      <c r="C985" t="s">
        <v>150</v>
      </c>
      <c r="D985" t="s">
        <v>47</v>
      </c>
      <c r="E985" t="s">
        <v>292</v>
      </c>
      <c r="F985" t="s">
        <v>293</v>
      </c>
      <c r="G985">
        <v>-32990</v>
      </c>
      <c r="H985" t="s">
        <v>153</v>
      </c>
      <c r="I985" t="s">
        <v>164</v>
      </c>
    </row>
    <row r="986" spans="1:9">
      <c r="A986" s="49">
        <v>45973</v>
      </c>
      <c r="B986" s="50">
        <v>0.3752430555555555</v>
      </c>
      <c r="C986" t="s">
        <v>150</v>
      </c>
      <c r="D986" t="s">
        <v>34</v>
      </c>
      <c r="E986" t="s">
        <v>322</v>
      </c>
      <c r="F986" t="s">
        <v>323</v>
      </c>
      <c r="G986">
        <v>-109890</v>
      </c>
      <c r="H986" t="s">
        <v>153</v>
      </c>
      <c r="I986" t="s">
        <v>214</v>
      </c>
    </row>
    <row r="987" spans="1:9">
      <c r="A987" s="49">
        <v>45972</v>
      </c>
      <c r="B987" s="50">
        <v>0.6696875</v>
      </c>
      <c r="C987" t="s">
        <v>150</v>
      </c>
      <c r="D987" t="s">
        <v>40</v>
      </c>
      <c r="E987" t="s">
        <v>172</v>
      </c>
      <c r="F987" t="s">
        <v>600</v>
      </c>
      <c r="G987">
        <v>-7300</v>
      </c>
      <c r="H987" t="s">
        <v>153</v>
      </c>
      <c r="I987" t="s">
        <v>214</v>
      </c>
    </row>
    <row r="988" spans="1:9">
      <c r="A988" s="49">
        <v>45972</v>
      </c>
      <c r="B988" s="50">
        <v>0.6627546296296296</v>
      </c>
      <c r="C988" t="s">
        <v>150</v>
      </c>
      <c r="D988" t="s">
        <v>45</v>
      </c>
      <c r="E988" t="s">
        <v>468</v>
      </c>
      <c r="F988" t="s">
        <v>601</v>
      </c>
      <c r="G988">
        <v>-2500</v>
      </c>
      <c r="H988" t="s">
        <v>153</v>
      </c>
      <c r="I988" t="s">
        <v>214</v>
      </c>
    </row>
    <row r="989" spans="1:9">
      <c r="A989" s="49">
        <v>45972</v>
      </c>
      <c r="B989" s="50">
        <v>0.6564004629629629</v>
      </c>
      <c r="C989" t="s">
        <v>150</v>
      </c>
      <c r="D989" t="s">
        <v>45</v>
      </c>
      <c r="E989" t="s">
        <v>560</v>
      </c>
      <c r="F989" t="s">
        <v>561</v>
      </c>
      <c r="G989">
        <v>-23500</v>
      </c>
      <c r="H989" t="s">
        <v>153</v>
      </c>
      <c r="I989" t="s">
        <v>214</v>
      </c>
    </row>
    <row r="990" spans="1:9">
      <c r="A990" s="49">
        <v>45972</v>
      </c>
      <c r="B990" s="50">
        <v>0.3948611111111111</v>
      </c>
      <c r="C990" t="s">
        <v>155</v>
      </c>
      <c r="D990" t="s">
        <v>155</v>
      </c>
      <c r="E990" t="s">
        <v>32</v>
      </c>
      <c r="F990" t="s">
        <v>156</v>
      </c>
      <c r="G990">
        <v>-130000</v>
      </c>
      <c r="H990" t="s">
        <v>153</v>
      </c>
      <c r="I990" t="s">
        <v>157</v>
      </c>
    </row>
    <row r="991" spans="1:9">
      <c r="A991" s="49">
        <v>45972</v>
      </c>
      <c r="B991" s="50">
        <v>0.0202662037037037</v>
      </c>
      <c r="C991" t="s">
        <v>150</v>
      </c>
      <c r="D991" t="s">
        <v>49</v>
      </c>
      <c r="E991" t="s">
        <v>304</v>
      </c>
      <c r="F991" t="s">
        <v>565</v>
      </c>
      <c r="G991">
        <v>129050</v>
      </c>
      <c r="H991" t="s">
        <v>153</v>
      </c>
      <c r="I991" t="s">
        <v>171</v>
      </c>
    </row>
    <row r="992" spans="1:9">
      <c r="A992" s="49">
        <v>45972</v>
      </c>
      <c r="B992" s="50">
        <v>0.0202662037037037</v>
      </c>
      <c r="C992" t="s">
        <v>150</v>
      </c>
      <c r="D992" t="s">
        <v>49</v>
      </c>
      <c r="E992" t="s">
        <v>304</v>
      </c>
      <c r="F992" t="s">
        <v>565</v>
      </c>
      <c r="G992">
        <v>-129050</v>
      </c>
      <c r="H992" t="s">
        <v>153</v>
      </c>
      <c r="I992" t="s">
        <v>171</v>
      </c>
    </row>
    <row r="993" spans="1:9">
      <c r="A993" s="49">
        <v>45972</v>
      </c>
      <c r="B993" s="50">
        <v>0.004027777777777778</v>
      </c>
      <c r="C993" t="s">
        <v>155</v>
      </c>
      <c r="D993" t="s">
        <v>155</v>
      </c>
      <c r="E993" t="s">
        <v>32</v>
      </c>
      <c r="F993" t="s">
        <v>181</v>
      </c>
      <c r="G993">
        <v>150000</v>
      </c>
      <c r="H993" t="s">
        <v>153</v>
      </c>
      <c r="I993" t="s">
        <v>157</v>
      </c>
    </row>
    <row r="994" spans="1:9">
      <c r="A994" s="49">
        <v>45971</v>
      </c>
      <c r="B994" s="50">
        <v>0.9660763888888889</v>
      </c>
      <c r="C994" t="s">
        <v>150</v>
      </c>
      <c r="D994" t="s">
        <v>36</v>
      </c>
      <c r="E994" t="s">
        <v>191</v>
      </c>
      <c r="F994" t="s">
        <v>192</v>
      </c>
      <c r="G994">
        <v>-3350</v>
      </c>
      <c r="H994" t="s">
        <v>153</v>
      </c>
      <c r="I994" t="s">
        <v>157</v>
      </c>
    </row>
    <row r="995" spans="1:9">
      <c r="A995" s="49">
        <v>45971</v>
      </c>
      <c r="B995" s="50">
        <v>0.7727893518518518</v>
      </c>
      <c r="C995" t="s">
        <v>155</v>
      </c>
      <c r="D995" t="s">
        <v>70</v>
      </c>
      <c r="E995" t="s">
        <v>32</v>
      </c>
      <c r="F995" t="s">
        <v>238</v>
      </c>
      <c r="G995">
        <v>-22000</v>
      </c>
      <c r="H995" t="s">
        <v>153</v>
      </c>
      <c r="I995" t="s">
        <v>64</v>
      </c>
    </row>
    <row r="996" spans="1:9">
      <c r="A996" s="49">
        <v>45971</v>
      </c>
      <c r="B996" s="50">
        <v>0.6030324074074074</v>
      </c>
      <c r="C996" t="s">
        <v>155</v>
      </c>
      <c r="D996" t="s">
        <v>158</v>
      </c>
      <c r="E996" t="s">
        <v>32</v>
      </c>
      <c r="F996" t="s">
        <v>450</v>
      </c>
      <c r="G996">
        <v>-200000</v>
      </c>
      <c r="H996" t="s">
        <v>153</v>
      </c>
      <c r="I996" t="s">
        <v>64</v>
      </c>
    </row>
    <row r="997" spans="1:9">
      <c r="A997" s="49">
        <v>45971</v>
      </c>
      <c r="B997" s="50">
        <v>0.5194560185185185</v>
      </c>
      <c r="C997" t="s">
        <v>155</v>
      </c>
      <c r="D997" t="s">
        <v>158</v>
      </c>
      <c r="E997" t="s">
        <v>32</v>
      </c>
      <c r="F997" t="s">
        <v>602</v>
      </c>
      <c r="G997">
        <v>-10500</v>
      </c>
      <c r="H997" t="s">
        <v>153</v>
      </c>
      <c r="I997" t="s">
        <v>64</v>
      </c>
    </row>
    <row r="998" spans="1:9">
      <c r="A998" s="49">
        <v>45971</v>
      </c>
      <c r="B998" s="50">
        <v>0.5112152777777778</v>
      </c>
      <c r="C998" t="s">
        <v>155</v>
      </c>
      <c r="D998" t="s">
        <v>158</v>
      </c>
      <c r="E998" t="s">
        <v>32</v>
      </c>
      <c r="F998" t="s">
        <v>603</v>
      </c>
      <c r="G998">
        <v>-105000</v>
      </c>
      <c r="H998" t="s">
        <v>153</v>
      </c>
      <c r="I998" t="s">
        <v>64</v>
      </c>
    </row>
    <row r="999" spans="1:9">
      <c r="A999" s="49">
        <v>45971</v>
      </c>
      <c r="B999" s="50">
        <v>0.4985416666666667</v>
      </c>
      <c r="C999" t="s">
        <v>167</v>
      </c>
      <c r="D999" t="s">
        <v>28</v>
      </c>
      <c r="E999" t="s">
        <v>32</v>
      </c>
      <c r="F999" t="s">
        <v>243</v>
      </c>
      <c r="G999">
        <v>3459</v>
      </c>
      <c r="H999" t="s">
        <v>153</v>
      </c>
      <c r="I999" t="s">
        <v>64</v>
      </c>
    </row>
    <row r="1000" spans="1:9">
      <c r="A1000" s="49">
        <v>45971</v>
      </c>
      <c r="B1000" s="50">
        <v>0.3764814814814815</v>
      </c>
      <c r="C1000" t="s">
        <v>150</v>
      </c>
      <c r="D1000" t="s">
        <v>49</v>
      </c>
      <c r="E1000" t="s">
        <v>304</v>
      </c>
      <c r="F1000" t="s">
        <v>565</v>
      </c>
      <c r="G1000">
        <v>-109170</v>
      </c>
      <c r="H1000" t="s">
        <v>153</v>
      </c>
      <c r="I1000" t="s">
        <v>171</v>
      </c>
    </row>
    <row r="1001" spans="1:9">
      <c r="A1001" s="49">
        <v>45971</v>
      </c>
      <c r="B1001" s="50">
        <v>0.3611458333333333</v>
      </c>
      <c r="C1001" t="s">
        <v>155</v>
      </c>
      <c r="D1001" t="s">
        <v>155</v>
      </c>
      <c r="E1001" t="s">
        <v>32</v>
      </c>
      <c r="F1001" t="s">
        <v>246</v>
      </c>
      <c r="G1001">
        <v>-13060</v>
      </c>
      <c r="H1001" t="s">
        <v>153</v>
      </c>
      <c r="I1001" t="s">
        <v>64</v>
      </c>
    </row>
    <row r="1002" spans="1:9">
      <c r="A1002" s="49">
        <v>45970</v>
      </c>
      <c r="B1002" s="50">
        <v>0.7421643518518518</v>
      </c>
      <c r="C1002" t="s">
        <v>155</v>
      </c>
      <c r="D1002" t="s">
        <v>155</v>
      </c>
      <c r="E1002" t="s">
        <v>32</v>
      </c>
      <c r="F1002" t="s">
        <v>548</v>
      </c>
      <c r="G1002">
        <v>390000</v>
      </c>
      <c r="H1002" t="s">
        <v>153</v>
      </c>
      <c r="I1002" t="s">
        <v>64</v>
      </c>
    </row>
    <row r="1003" spans="1:9">
      <c r="A1003" s="49">
        <v>45970</v>
      </c>
      <c r="B1003" s="50">
        <v>0.2126851851851852</v>
      </c>
      <c r="C1003" t="s">
        <v>150</v>
      </c>
      <c r="D1003" t="s">
        <v>34</v>
      </c>
      <c r="E1003" t="s">
        <v>604</v>
      </c>
      <c r="F1003" t="s">
        <v>605</v>
      </c>
      <c r="G1003">
        <v>7500</v>
      </c>
      <c r="H1003" t="s">
        <v>153</v>
      </c>
      <c r="I1003" t="s">
        <v>164</v>
      </c>
    </row>
    <row r="1004" spans="1:9">
      <c r="A1004" s="49">
        <v>45970</v>
      </c>
      <c r="B1004" s="50">
        <v>0.2126736111111111</v>
      </c>
      <c r="C1004" t="s">
        <v>150</v>
      </c>
      <c r="D1004" t="s">
        <v>34</v>
      </c>
      <c r="E1004" t="s">
        <v>604</v>
      </c>
      <c r="F1004" t="s">
        <v>605</v>
      </c>
      <c r="G1004">
        <v>7500</v>
      </c>
      <c r="H1004" t="s">
        <v>153</v>
      </c>
      <c r="I1004" t="s">
        <v>164</v>
      </c>
    </row>
    <row r="1005" spans="1:9">
      <c r="A1005" s="49">
        <v>45969</v>
      </c>
      <c r="B1005" s="50">
        <v>0.8125810185185185</v>
      </c>
      <c r="C1005" t="s">
        <v>150</v>
      </c>
      <c r="D1005" t="s">
        <v>35</v>
      </c>
      <c r="E1005" t="s">
        <v>174</v>
      </c>
      <c r="F1005" t="s">
        <v>314</v>
      </c>
      <c r="G1005">
        <v>-10000</v>
      </c>
      <c r="H1005" t="s">
        <v>153</v>
      </c>
      <c r="I1005" t="s">
        <v>64</v>
      </c>
    </row>
    <row r="1006" spans="1:9">
      <c r="A1006" s="49">
        <v>45969</v>
      </c>
      <c r="B1006" s="50">
        <v>0.8034143518518518</v>
      </c>
      <c r="C1006" t="s">
        <v>150</v>
      </c>
      <c r="D1006" t="s">
        <v>48</v>
      </c>
      <c r="E1006" t="s">
        <v>566</v>
      </c>
      <c r="F1006" t="s">
        <v>606</v>
      </c>
      <c r="G1006">
        <v>-5000</v>
      </c>
      <c r="H1006" t="s">
        <v>153</v>
      </c>
      <c r="I1006" t="s">
        <v>214</v>
      </c>
    </row>
    <row r="1007" spans="1:9">
      <c r="A1007" s="49">
        <v>45969</v>
      </c>
      <c r="B1007" s="50">
        <v>0.7957523148148148</v>
      </c>
      <c r="C1007" t="s">
        <v>150</v>
      </c>
      <c r="D1007" t="s">
        <v>42</v>
      </c>
      <c r="E1007" t="s">
        <v>177</v>
      </c>
      <c r="F1007" t="s">
        <v>607</v>
      </c>
      <c r="G1007">
        <v>-2400</v>
      </c>
      <c r="H1007" t="s">
        <v>153</v>
      </c>
      <c r="I1007" t="s">
        <v>214</v>
      </c>
    </row>
    <row r="1008" spans="1:9">
      <c r="A1008" s="49">
        <v>45969</v>
      </c>
      <c r="B1008" s="50">
        <v>0.7920254629629629</v>
      </c>
      <c r="C1008" t="s">
        <v>150</v>
      </c>
      <c r="D1008" t="s">
        <v>42</v>
      </c>
      <c r="E1008" t="s">
        <v>177</v>
      </c>
      <c r="F1008" t="s">
        <v>608</v>
      </c>
      <c r="G1008">
        <v>-63000</v>
      </c>
      <c r="H1008" t="s">
        <v>153</v>
      </c>
      <c r="I1008" t="s">
        <v>214</v>
      </c>
    </row>
    <row r="1009" spans="1:9">
      <c r="A1009" s="49">
        <v>45969</v>
      </c>
      <c r="B1009" s="50">
        <v>0.7168287037037037</v>
      </c>
      <c r="C1009" t="s">
        <v>150</v>
      </c>
      <c r="D1009" t="s">
        <v>35</v>
      </c>
      <c r="E1009" t="s">
        <v>174</v>
      </c>
      <c r="F1009" t="s">
        <v>314</v>
      </c>
      <c r="G1009">
        <v>-20000</v>
      </c>
      <c r="H1009" t="s">
        <v>153</v>
      </c>
      <c r="I1009" t="s">
        <v>64</v>
      </c>
    </row>
    <row r="1010" spans="1:9">
      <c r="A1010" s="49">
        <v>45969</v>
      </c>
      <c r="B1010" s="50">
        <v>0.7110300925925926</v>
      </c>
      <c r="C1010" t="s">
        <v>150</v>
      </c>
      <c r="D1010" t="s">
        <v>40</v>
      </c>
      <c r="E1010" t="s">
        <v>380</v>
      </c>
      <c r="F1010" t="s">
        <v>609</v>
      </c>
      <c r="G1010">
        <v>-1000</v>
      </c>
      <c r="H1010" t="s">
        <v>153</v>
      </c>
      <c r="I1010" t="s">
        <v>214</v>
      </c>
    </row>
    <row r="1011" spans="1:9">
      <c r="A1011" s="49">
        <v>45969</v>
      </c>
      <c r="B1011" s="50">
        <v>0.6215972222222222</v>
      </c>
      <c r="C1011" t="s">
        <v>150</v>
      </c>
      <c r="D1011" t="s">
        <v>37</v>
      </c>
      <c r="E1011" t="s">
        <v>610</v>
      </c>
      <c r="F1011" t="s">
        <v>611</v>
      </c>
      <c r="G1011">
        <v>-5000</v>
      </c>
      <c r="H1011" t="s">
        <v>153</v>
      </c>
      <c r="I1011" t="s">
        <v>214</v>
      </c>
    </row>
    <row r="1012" spans="1:9">
      <c r="A1012" s="49">
        <v>45969</v>
      </c>
      <c r="B1012" s="50">
        <v>0.5980555555555556</v>
      </c>
      <c r="C1012" t="s">
        <v>150</v>
      </c>
      <c r="D1012" t="s">
        <v>37</v>
      </c>
      <c r="E1012" t="s">
        <v>610</v>
      </c>
      <c r="F1012" t="s">
        <v>611</v>
      </c>
      <c r="G1012">
        <v>-6000</v>
      </c>
      <c r="H1012" t="s">
        <v>153</v>
      </c>
      <c r="I1012" t="s">
        <v>214</v>
      </c>
    </row>
    <row r="1013" spans="1:9">
      <c r="A1013" s="49">
        <v>45969</v>
      </c>
      <c r="B1013" s="50">
        <v>0.534224537037037</v>
      </c>
      <c r="C1013" t="s">
        <v>150</v>
      </c>
      <c r="D1013" t="s">
        <v>37</v>
      </c>
      <c r="E1013" t="s">
        <v>610</v>
      </c>
      <c r="F1013" t="s">
        <v>611</v>
      </c>
      <c r="G1013">
        <v>-20000</v>
      </c>
      <c r="H1013" t="s">
        <v>153</v>
      </c>
      <c r="I1013" t="s">
        <v>214</v>
      </c>
    </row>
    <row r="1014" spans="1:9">
      <c r="A1014" s="49">
        <v>45969</v>
      </c>
      <c r="B1014" s="50">
        <v>0.5261805555555555</v>
      </c>
      <c r="C1014" t="s">
        <v>150</v>
      </c>
      <c r="D1014" t="s">
        <v>40</v>
      </c>
      <c r="E1014" t="s">
        <v>380</v>
      </c>
      <c r="F1014" t="s">
        <v>609</v>
      </c>
      <c r="G1014">
        <v>-1000</v>
      </c>
      <c r="H1014" t="s">
        <v>153</v>
      </c>
      <c r="I1014" t="s">
        <v>214</v>
      </c>
    </row>
    <row r="1015" spans="1:9">
      <c r="A1015" s="49">
        <v>45969</v>
      </c>
      <c r="B1015" s="50">
        <v>0.5063425925925926</v>
      </c>
      <c r="C1015" t="s">
        <v>150</v>
      </c>
      <c r="D1015" t="s">
        <v>35</v>
      </c>
      <c r="E1015" t="s">
        <v>174</v>
      </c>
      <c r="F1015" t="s">
        <v>314</v>
      </c>
      <c r="G1015">
        <v>-10000</v>
      </c>
      <c r="H1015" t="s">
        <v>153</v>
      </c>
      <c r="I1015" t="s">
        <v>64</v>
      </c>
    </row>
    <row r="1016" spans="1:9">
      <c r="A1016" s="49">
        <v>45969</v>
      </c>
      <c r="B1016" s="50">
        <v>0.4957060185185185</v>
      </c>
      <c r="C1016" t="s">
        <v>150</v>
      </c>
      <c r="D1016" t="s">
        <v>45</v>
      </c>
      <c r="E1016" t="s">
        <v>468</v>
      </c>
      <c r="F1016" t="s">
        <v>612</v>
      </c>
      <c r="G1016">
        <v>-6800</v>
      </c>
      <c r="H1016" t="s">
        <v>153</v>
      </c>
      <c r="I1016" t="s">
        <v>214</v>
      </c>
    </row>
    <row r="1017" spans="1:9">
      <c r="A1017" s="49">
        <v>45969</v>
      </c>
      <c r="B1017" s="50">
        <v>0.4918518518518519</v>
      </c>
      <c r="C1017" t="s">
        <v>150</v>
      </c>
      <c r="D1017" t="s">
        <v>42</v>
      </c>
      <c r="E1017" t="s">
        <v>177</v>
      </c>
      <c r="F1017" t="s">
        <v>613</v>
      </c>
      <c r="G1017">
        <v>-22000</v>
      </c>
      <c r="H1017" t="s">
        <v>153</v>
      </c>
      <c r="I1017" t="s">
        <v>214</v>
      </c>
    </row>
    <row r="1018" spans="1:9">
      <c r="A1018" s="49">
        <v>45968</v>
      </c>
      <c r="B1018" s="50">
        <v>0.9756481481481482</v>
      </c>
      <c r="C1018" t="s">
        <v>150</v>
      </c>
      <c r="D1018" t="s">
        <v>41</v>
      </c>
      <c r="E1018" t="s">
        <v>447</v>
      </c>
      <c r="F1018" t="s">
        <v>614</v>
      </c>
      <c r="G1018">
        <v>-162000</v>
      </c>
      <c r="H1018" t="s">
        <v>153</v>
      </c>
      <c r="I1018" t="s">
        <v>214</v>
      </c>
    </row>
    <row r="1019" spans="1:9">
      <c r="A1019" s="49">
        <v>45968</v>
      </c>
      <c r="B1019" s="50">
        <v>0.6415740740740741</v>
      </c>
      <c r="C1019" t="s">
        <v>150</v>
      </c>
      <c r="D1019" t="s">
        <v>42</v>
      </c>
      <c r="E1019" t="s">
        <v>463</v>
      </c>
      <c r="F1019" t="s">
        <v>615</v>
      </c>
      <c r="G1019">
        <v>-49000</v>
      </c>
      <c r="H1019" t="s">
        <v>153</v>
      </c>
      <c r="I1019" t="s">
        <v>214</v>
      </c>
    </row>
    <row r="1020" spans="1:9">
      <c r="A1020" s="49">
        <v>45968</v>
      </c>
      <c r="B1020" s="50">
        <v>0.5786805555555555</v>
      </c>
      <c r="C1020" t="s">
        <v>155</v>
      </c>
      <c r="D1020" t="s">
        <v>155</v>
      </c>
      <c r="E1020" t="s">
        <v>32</v>
      </c>
      <c r="F1020" t="s">
        <v>246</v>
      </c>
      <c r="G1020">
        <v>-60000</v>
      </c>
      <c r="H1020" t="s">
        <v>153</v>
      </c>
      <c r="I1020" t="s">
        <v>64</v>
      </c>
    </row>
    <row r="1021" spans="1:9">
      <c r="A1021" s="49">
        <v>45968</v>
      </c>
      <c r="B1021" s="50">
        <v>0.5597106481481482</v>
      </c>
      <c r="C1021" t="s">
        <v>150</v>
      </c>
      <c r="D1021" t="s">
        <v>48</v>
      </c>
      <c r="E1021" t="s">
        <v>185</v>
      </c>
      <c r="F1021" t="s">
        <v>616</v>
      </c>
      <c r="G1021">
        <v>-12500</v>
      </c>
      <c r="H1021" t="s">
        <v>153</v>
      </c>
      <c r="I1021" t="s">
        <v>214</v>
      </c>
    </row>
    <row r="1022" spans="1:9">
      <c r="A1022" s="49">
        <v>45968</v>
      </c>
      <c r="B1022" s="50">
        <v>0.5567361111111111</v>
      </c>
      <c r="C1022" t="s">
        <v>150</v>
      </c>
      <c r="D1022" t="s">
        <v>40</v>
      </c>
      <c r="E1022" t="s">
        <v>223</v>
      </c>
      <c r="F1022" t="s">
        <v>617</v>
      </c>
      <c r="G1022">
        <v>-6000</v>
      </c>
      <c r="H1022" t="s">
        <v>153</v>
      </c>
      <c r="I1022" t="s">
        <v>214</v>
      </c>
    </row>
    <row r="1023" spans="1:9">
      <c r="A1023" s="49">
        <v>45968</v>
      </c>
      <c r="B1023" s="50">
        <v>0.5404629629629629</v>
      </c>
      <c r="C1023" t="s">
        <v>150</v>
      </c>
      <c r="D1023" t="s">
        <v>44</v>
      </c>
      <c r="E1023" t="s">
        <v>162</v>
      </c>
      <c r="F1023" t="s">
        <v>618</v>
      </c>
      <c r="G1023">
        <v>-5000</v>
      </c>
      <c r="H1023" t="s">
        <v>153</v>
      </c>
      <c r="I1023" t="s">
        <v>214</v>
      </c>
    </row>
    <row r="1024" spans="1:9">
      <c r="A1024" s="49">
        <v>45968</v>
      </c>
      <c r="B1024" s="50">
        <v>0.4859606481481482</v>
      </c>
      <c r="C1024" t="s">
        <v>150</v>
      </c>
      <c r="D1024" t="s">
        <v>42</v>
      </c>
      <c r="E1024" t="s">
        <v>177</v>
      </c>
      <c r="F1024" t="s">
        <v>607</v>
      </c>
      <c r="G1024">
        <v>-3600</v>
      </c>
      <c r="H1024" t="s">
        <v>153</v>
      </c>
      <c r="I1024" t="s">
        <v>214</v>
      </c>
    </row>
    <row r="1025" spans="1:9">
      <c r="A1025" s="49">
        <v>45968</v>
      </c>
      <c r="B1025" s="50">
        <v>0.0340625</v>
      </c>
      <c r="C1025" t="s">
        <v>150</v>
      </c>
      <c r="D1025" t="s">
        <v>42</v>
      </c>
      <c r="E1025" t="s">
        <v>177</v>
      </c>
      <c r="F1025" t="s">
        <v>619</v>
      </c>
      <c r="G1025">
        <v>-67000</v>
      </c>
      <c r="H1025" t="s">
        <v>153</v>
      </c>
      <c r="I1025" t="s">
        <v>214</v>
      </c>
    </row>
    <row r="1026" spans="1:9">
      <c r="A1026" s="49">
        <v>45967</v>
      </c>
      <c r="B1026" s="50">
        <v>0.9546296296296296</v>
      </c>
      <c r="C1026" t="s">
        <v>150</v>
      </c>
      <c r="D1026" t="s">
        <v>40</v>
      </c>
      <c r="E1026" t="s">
        <v>172</v>
      </c>
      <c r="F1026" t="s">
        <v>620</v>
      </c>
      <c r="G1026">
        <v>-2800</v>
      </c>
      <c r="H1026" t="s">
        <v>153</v>
      </c>
      <c r="I1026" t="s">
        <v>214</v>
      </c>
    </row>
    <row r="1027" spans="1:9">
      <c r="A1027" s="49">
        <v>45967</v>
      </c>
      <c r="B1027" s="50">
        <v>0.9528935185185186</v>
      </c>
      <c r="C1027" t="s">
        <v>150</v>
      </c>
      <c r="D1027" t="s">
        <v>39</v>
      </c>
      <c r="E1027" t="s">
        <v>621</v>
      </c>
      <c r="F1027" t="s">
        <v>622</v>
      </c>
      <c r="G1027">
        <v>-13310</v>
      </c>
      <c r="H1027" t="s">
        <v>153</v>
      </c>
      <c r="I1027" t="s">
        <v>214</v>
      </c>
    </row>
    <row r="1028" spans="1:9">
      <c r="A1028" s="49">
        <v>45967</v>
      </c>
      <c r="B1028" s="50">
        <v>0.9467013888888889</v>
      </c>
      <c r="C1028" t="s">
        <v>150</v>
      </c>
      <c r="D1028" t="s">
        <v>48</v>
      </c>
      <c r="E1028" t="s">
        <v>196</v>
      </c>
      <c r="F1028" t="s">
        <v>623</v>
      </c>
      <c r="G1028">
        <v>-10000</v>
      </c>
      <c r="H1028" t="s">
        <v>153</v>
      </c>
      <c r="I1028" t="s">
        <v>214</v>
      </c>
    </row>
    <row r="1029" spans="1:9">
      <c r="A1029" s="49">
        <v>45967</v>
      </c>
      <c r="B1029" s="50">
        <v>0.9239120370370371</v>
      </c>
      <c r="C1029" t="s">
        <v>150</v>
      </c>
      <c r="D1029" t="s">
        <v>42</v>
      </c>
      <c r="E1029" t="s">
        <v>177</v>
      </c>
      <c r="F1029" t="s">
        <v>607</v>
      </c>
      <c r="G1029">
        <v>-13400</v>
      </c>
      <c r="H1029" t="s">
        <v>153</v>
      </c>
      <c r="I1029" t="s">
        <v>214</v>
      </c>
    </row>
    <row r="1030" spans="1:9">
      <c r="A1030" s="49">
        <v>45967</v>
      </c>
      <c r="B1030" s="50">
        <v>0.7148611111111111</v>
      </c>
      <c r="C1030" t="s">
        <v>150</v>
      </c>
      <c r="D1030" t="s">
        <v>42</v>
      </c>
      <c r="E1030" t="s">
        <v>374</v>
      </c>
      <c r="F1030" t="s">
        <v>624</v>
      </c>
      <c r="G1030">
        <v>-10900</v>
      </c>
      <c r="H1030" t="s">
        <v>153</v>
      </c>
      <c r="I1030" t="s">
        <v>214</v>
      </c>
    </row>
    <row r="1031" spans="1:9">
      <c r="A1031" s="49">
        <v>45967</v>
      </c>
      <c r="B1031" s="50">
        <v>0.7107175925925926</v>
      </c>
      <c r="C1031" t="s">
        <v>150</v>
      </c>
      <c r="D1031" t="s">
        <v>42</v>
      </c>
      <c r="E1031" t="s">
        <v>177</v>
      </c>
      <c r="F1031" t="s">
        <v>625</v>
      </c>
      <c r="G1031">
        <v>-2400</v>
      </c>
      <c r="H1031" t="s">
        <v>153</v>
      </c>
      <c r="I1031" t="s">
        <v>214</v>
      </c>
    </row>
    <row r="1032" spans="1:9">
      <c r="A1032" s="49">
        <v>45967</v>
      </c>
      <c r="B1032" s="50">
        <v>0.7022222222222222</v>
      </c>
      <c r="C1032" t="s">
        <v>150</v>
      </c>
      <c r="D1032" t="s">
        <v>40</v>
      </c>
      <c r="E1032" t="s">
        <v>427</v>
      </c>
      <c r="F1032" t="s">
        <v>626</v>
      </c>
      <c r="G1032">
        <v>-58000</v>
      </c>
      <c r="H1032" t="s">
        <v>153</v>
      </c>
      <c r="I1032" t="s">
        <v>214</v>
      </c>
    </row>
    <row r="1033" spans="1:9">
      <c r="A1033" s="49">
        <v>45967</v>
      </c>
      <c r="B1033" s="50">
        <v>0.6951041666666666</v>
      </c>
      <c r="C1033" t="s">
        <v>150</v>
      </c>
      <c r="D1033" t="s">
        <v>42</v>
      </c>
      <c r="E1033" t="s">
        <v>212</v>
      </c>
      <c r="F1033" t="s">
        <v>627</v>
      </c>
      <c r="G1033">
        <v>-9000</v>
      </c>
      <c r="H1033" t="s">
        <v>153</v>
      </c>
      <c r="I1033" t="s">
        <v>214</v>
      </c>
    </row>
    <row r="1034" spans="1:9">
      <c r="A1034" s="49">
        <v>45967</v>
      </c>
      <c r="B1034" s="50">
        <v>0.6893518518518519</v>
      </c>
      <c r="C1034" t="s">
        <v>150</v>
      </c>
      <c r="D1034" t="s">
        <v>37</v>
      </c>
      <c r="E1034" t="s">
        <v>486</v>
      </c>
      <c r="F1034" t="s">
        <v>628</v>
      </c>
      <c r="G1034">
        <v>-3000</v>
      </c>
      <c r="H1034" t="s">
        <v>153</v>
      </c>
      <c r="I1034" t="s">
        <v>214</v>
      </c>
    </row>
    <row r="1035" spans="1:9">
      <c r="A1035" s="49">
        <v>45967</v>
      </c>
      <c r="B1035" s="50">
        <v>0.6865162037037037</v>
      </c>
      <c r="C1035" t="s">
        <v>150</v>
      </c>
      <c r="D1035" t="s">
        <v>37</v>
      </c>
      <c r="E1035" t="s">
        <v>486</v>
      </c>
      <c r="F1035" t="s">
        <v>628</v>
      </c>
      <c r="G1035">
        <v>-3000</v>
      </c>
      <c r="H1035" t="s">
        <v>153</v>
      </c>
      <c r="I1035" t="s">
        <v>214</v>
      </c>
    </row>
    <row r="1036" spans="1:9">
      <c r="A1036" s="49">
        <v>45967</v>
      </c>
      <c r="B1036" s="50">
        <v>0.6854282407407407</v>
      </c>
      <c r="C1036" t="s">
        <v>150</v>
      </c>
      <c r="D1036" t="s">
        <v>37</v>
      </c>
      <c r="E1036" t="s">
        <v>486</v>
      </c>
      <c r="F1036" t="s">
        <v>628</v>
      </c>
      <c r="G1036">
        <v>-3000</v>
      </c>
      <c r="H1036" t="s">
        <v>153</v>
      </c>
      <c r="I1036" t="s">
        <v>214</v>
      </c>
    </row>
    <row r="1037" spans="1:9">
      <c r="A1037" s="49">
        <v>45967</v>
      </c>
      <c r="B1037" s="50">
        <v>0.6840972222222222</v>
      </c>
      <c r="C1037" t="s">
        <v>150</v>
      </c>
      <c r="D1037" t="s">
        <v>37</v>
      </c>
      <c r="E1037" t="s">
        <v>486</v>
      </c>
      <c r="F1037" t="s">
        <v>628</v>
      </c>
      <c r="G1037">
        <v>-3000</v>
      </c>
      <c r="H1037" t="s">
        <v>153</v>
      </c>
      <c r="I1037" t="s">
        <v>214</v>
      </c>
    </row>
    <row r="1038" spans="1:9">
      <c r="A1038" s="49">
        <v>45967</v>
      </c>
      <c r="B1038" s="50">
        <v>0.636087962962963</v>
      </c>
      <c r="C1038" t="s">
        <v>150</v>
      </c>
      <c r="D1038" t="s">
        <v>42</v>
      </c>
      <c r="E1038" t="s">
        <v>177</v>
      </c>
      <c r="F1038" t="s">
        <v>613</v>
      </c>
      <c r="G1038">
        <v>-33000</v>
      </c>
      <c r="H1038" t="s">
        <v>153</v>
      </c>
      <c r="I1038" t="s">
        <v>214</v>
      </c>
    </row>
    <row r="1039" spans="1:9">
      <c r="A1039" s="49">
        <v>45967</v>
      </c>
      <c r="B1039" s="50">
        <v>0.5309606481481481</v>
      </c>
      <c r="C1039" t="s">
        <v>150</v>
      </c>
      <c r="D1039" t="s">
        <v>44</v>
      </c>
      <c r="E1039" t="s">
        <v>315</v>
      </c>
      <c r="F1039" t="s">
        <v>316</v>
      </c>
      <c r="G1039">
        <v>-2500</v>
      </c>
      <c r="H1039" t="s">
        <v>153</v>
      </c>
      <c r="I1039" t="s">
        <v>164</v>
      </c>
    </row>
    <row r="1040" spans="1:9">
      <c r="A1040" s="49">
        <v>45967</v>
      </c>
      <c r="B1040" s="50">
        <v>0.4154976851851852</v>
      </c>
      <c r="C1040" t="s">
        <v>150</v>
      </c>
      <c r="D1040" t="s">
        <v>48</v>
      </c>
      <c r="E1040" t="s">
        <v>629</v>
      </c>
      <c r="F1040" t="s">
        <v>630</v>
      </c>
      <c r="G1040">
        <v>-10900</v>
      </c>
      <c r="H1040" t="s">
        <v>153</v>
      </c>
      <c r="I1040" t="s">
        <v>214</v>
      </c>
    </row>
    <row r="1041" spans="1:9">
      <c r="A1041" s="49">
        <v>45967</v>
      </c>
      <c r="B1041" s="50">
        <v>0.2595138888888889</v>
      </c>
      <c r="C1041" t="s">
        <v>167</v>
      </c>
      <c r="D1041" t="s">
        <v>29</v>
      </c>
      <c r="E1041" t="s">
        <v>32</v>
      </c>
      <c r="F1041" t="s">
        <v>631</v>
      </c>
      <c r="G1041">
        <v>499000</v>
      </c>
      <c r="H1041" t="s">
        <v>153</v>
      </c>
      <c r="I1041" t="s">
        <v>64</v>
      </c>
    </row>
    <row r="1042" spans="1:9">
      <c r="A1042" s="49">
        <v>45966</v>
      </c>
      <c r="B1042" s="50">
        <v>0.6475578703703704</v>
      </c>
      <c r="C1042" t="s">
        <v>150</v>
      </c>
      <c r="D1042" t="s">
        <v>45</v>
      </c>
      <c r="E1042" t="s">
        <v>468</v>
      </c>
      <c r="F1042" t="s">
        <v>601</v>
      </c>
      <c r="G1042">
        <v>-3400</v>
      </c>
      <c r="H1042" t="s">
        <v>153</v>
      </c>
      <c r="I1042" t="s">
        <v>214</v>
      </c>
    </row>
    <row r="1043" spans="1:9">
      <c r="A1043" s="49">
        <v>45966</v>
      </c>
      <c r="B1043" s="50">
        <v>0.6446875</v>
      </c>
      <c r="C1043" t="s">
        <v>150</v>
      </c>
      <c r="D1043" t="s">
        <v>45</v>
      </c>
      <c r="E1043" t="s">
        <v>560</v>
      </c>
      <c r="F1043" t="s">
        <v>561</v>
      </c>
      <c r="G1043">
        <v>-81200</v>
      </c>
      <c r="H1043" t="s">
        <v>153</v>
      </c>
      <c r="I1043" t="s">
        <v>214</v>
      </c>
    </row>
    <row r="1044" spans="1:9">
      <c r="A1044" s="49">
        <v>45966</v>
      </c>
      <c r="B1044" s="50">
        <v>0.5561689814814815</v>
      </c>
      <c r="C1044" t="s">
        <v>150</v>
      </c>
      <c r="D1044" t="s">
        <v>35</v>
      </c>
      <c r="E1044" t="s">
        <v>174</v>
      </c>
      <c r="F1044" t="s">
        <v>314</v>
      </c>
      <c r="G1044">
        <v>-10000</v>
      </c>
      <c r="H1044" t="s">
        <v>153</v>
      </c>
      <c r="I1044" t="s">
        <v>64</v>
      </c>
    </row>
    <row r="1045" spans="1:9">
      <c r="A1045" s="49">
        <v>45966</v>
      </c>
      <c r="B1045" s="50">
        <v>0.3942592592592593</v>
      </c>
      <c r="C1045" t="s">
        <v>150</v>
      </c>
      <c r="D1045" t="s">
        <v>44</v>
      </c>
      <c r="E1045" t="s">
        <v>162</v>
      </c>
      <c r="F1045" t="s">
        <v>163</v>
      </c>
      <c r="G1045">
        <v>-1900</v>
      </c>
      <c r="H1045" t="s">
        <v>153</v>
      </c>
      <c r="I1045" t="s">
        <v>164</v>
      </c>
    </row>
    <row r="1046" spans="1:9">
      <c r="A1046" s="49">
        <v>45966</v>
      </c>
      <c r="B1046" s="50">
        <v>0.3942592592592593</v>
      </c>
      <c r="C1046" t="s">
        <v>155</v>
      </c>
      <c r="D1046" t="s">
        <v>158</v>
      </c>
      <c r="E1046" t="s">
        <v>32</v>
      </c>
      <c r="F1046" t="s">
        <v>159</v>
      </c>
      <c r="G1046">
        <v>10000</v>
      </c>
      <c r="H1046" t="s">
        <v>153</v>
      </c>
      <c r="I1046" t="s">
        <v>157</v>
      </c>
    </row>
    <row r="1047" spans="1:9">
      <c r="A1047" s="49">
        <v>45966</v>
      </c>
      <c r="B1047" s="50">
        <v>0.3942592592592593</v>
      </c>
      <c r="C1047" t="s">
        <v>155</v>
      </c>
      <c r="D1047" t="s">
        <v>158</v>
      </c>
      <c r="E1047" t="s">
        <v>32</v>
      </c>
      <c r="F1047" t="s">
        <v>160</v>
      </c>
      <c r="G1047">
        <v>-10000</v>
      </c>
      <c r="H1047" t="s">
        <v>153</v>
      </c>
      <c r="I1047" t="s">
        <v>64</v>
      </c>
    </row>
    <row r="1048" spans="1:9">
      <c r="A1048" s="49">
        <v>45966</v>
      </c>
      <c r="B1048" s="50">
        <v>0.2565856481481482</v>
      </c>
      <c r="C1048" t="s">
        <v>150</v>
      </c>
      <c r="D1048" t="s">
        <v>35</v>
      </c>
      <c r="E1048" t="s">
        <v>482</v>
      </c>
      <c r="F1048" t="s">
        <v>632</v>
      </c>
      <c r="G1048">
        <v>-8400</v>
      </c>
      <c r="H1048" t="s">
        <v>153</v>
      </c>
      <c r="I1048" t="s">
        <v>214</v>
      </c>
    </row>
    <row r="1049" spans="1:9">
      <c r="A1049" s="49">
        <v>45966</v>
      </c>
      <c r="B1049" s="50">
        <v>0.2565856481481482</v>
      </c>
      <c r="C1049" t="s">
        <v>150</v>
      </c>
      <c r="D1049" t="s">
        <v>35</v>
      </c>
      <c r="E1049" t="s">
        <v>169</v>
      </c>
      <c r="F1049" t="s">
        <v>633</v>
      </c>
      <c r="G1049">
        <v>-13600</v>
      </c>
      <c r="H1049" t="s">
        <v>153</v>
      </c>
      <c r="I1049" t="s">
        <v>214</v>
      </c>
    </row>
    <row r="1050" spans="1:9">
      <c r="A1050" s="49">
        <v>45966</v>
      </c>
      <c r="B1050" s="50">
        <v>0.03521990740740741</v>
      </c>
      <c r="C1050" t="s">
        <v>155</v>
      </c>
      <c r="D1050" t="s">
        <v>155</v>
      </c>
      <c r="E1050" t="s">
        <v>32</v>
      </c>
      <c r="F1050" t="s">
        <v>236</v>
      </c>
      <c r="G1050">
        <v>-100000</v>
      </c>
      <c r="H1050" t="s">
        <v>153</v>
      </c>
      <c r="I1050" t="s">
        <v>157</v>
      </c>
    </row>
    <row r="1051" spans="1:9">
      <c r="A1051" s="49">
        <v>45966</v>
      </c>
      <c r="B1051" s="50">
        <v>0.03520833333333333</v>
      </c>
      <c r="C1051" t="s">
        <v>155</v>
      </c>
      <c r="D1051" t="s">
        <v>158</v>
      </c>
      <c r="E1051" t="s">
        <v>32</v>
      </c>
      <c r="F1051" t="s">
        <v>159</v>
      </c>
      <c r="G1051">
        <v>99999</v>
      </c>
      <c r="H1051" t="s">
        <v>153</v>
      </c>
      <c r="I1051" t="s">
        <v>157</v>
      </c>
    </row>
    <row r="1052" spans="1:9">
      <c r="A1052" s="49">
        <v>45966</v>
      </c>
      <c r="B1052" s="50">
        <v>0.03520833333333333</v>
      </c>
      <c r="C1052" t="s">
        <v>155</v>
      </c>
      <c r="D1052" t="s">
        <v>158</v>
      </c>
      <c r="E1052" t="s">
        <v>32</v>
      </c>
      <c r="F1052" t="s">
        <v>160</v>
      </c>
      <c r="G1052">
        <v>-99999</v>
      </c>
      <c r="H1052" t="s">
        <v>153</v>
      </c>
      <c r="I1052" t="s">
        <v>64</v>
      </c>
    </row>
    <row r="1053" spans="1:9">
      <c r="A1053" s="49">
        <v>45965</v>
      </c>
      <c r="B1053" s="50">
        <v>0.5692708333333333</v>
      </c>
      <c r="C1053" t="s">
        <v>150</v>
      </c>
      <c r="D1053" t="s">
        <v>42</v>
      </c>
      <c r="E1053" t="s">
        <v>177</v>
      </c>
      <c r="F1053" t="s">
        <v>596</v>
      </c>
      <c r="G1053">
        <v>-20000</v>
      </c>
      <c r="H1053" t="s">
        <v>153</v>
      </c>
      <c r="I1053" t="s">
        <v>214</v>
      </c>
    </row>
    <row r="1054" spans="1:9">
      <c r="A1054" s="49">
        <v>45965</v>
      </c>
      <c r="B1054" s="50">
        <v>0.5281597222222222</v>
      </c>
      <c r="C1054" t="s">
        <v>150</v>
      </c>
      <c r="D1054" t="s">
        <v>40</v>
      </c>
      <c r="E1054" t="s">
        <v>172</v>
      </c>
      <c r="F1054" t="s">
        <v>383</v>
      </c>
      <c r="G1054">
        <v>0</v>
      </c>
      <c r="H1054" t="s">
        <v>153</v>
      </c>
      <c r="I1054" t="s">
        <v>164</v>
      </c>
    </row>
    <row r="1055" spans="1:9">
      <c r="A1055" s="49">
        <v>45965</v>
      </c>
      <c r="B1055" s="50">
        <v>0.4525231481481481</v>
      </c>
      <c r="C1055" t="s">
        <v>150</v>
      </c>
      <c r="D1055" t="s">
        <v>44</v>
      </c>
      <c r="E1055" t="s">
        <v>225</v>
      </c>
      <c r="F1055" t="s">
        <v>372</v>
      </c>
      <c r="G1055">
        <v>-7890</v>
      </c>
      <c r="H1055" t="s">
        <v>153</v>
      </c>
      <c r="I1055" t="s">
        <v>64</v>
      </c>
    </row>
    <row r="1056" spans="1:9">
      <c r="A1056" s="49">
        <v>45965</v>
      </c>
      <c r="B1056" s="50">
        <v>0.01974537037037037</v>
      </c>
      <c r="C1056" t="s">
        <v>150</v>
      </c>
      <c r="D1056" t="s">
        <v>40</v>
      </c>
      <c r="E1056" t="s">
        <v>172</v>
      </c>
      <c r="F1056" t="s">
        <v>383</v>
      </c>
      <c r="G1056">
        <v>0</v>
      </c>
      <c r="H1056" t="s">
        <v>153</v>
      </c>
      <c r="I1056" t="s">
        <v>164</v>
      </c>
    </row>
    <row r="1057" spans="1:9">
      <c r="A1057" s="49">
        <v>45964</v>
      </c>
      <c r="B1057" s="50">
        <v>0.8707754629629629</v>
      </c>
      <c r="C1057" t="s">
        <v>150</v>
      </c>
      <c r="D1057" t="s">
        <v>35</v>
      </c>
      <c r="E1057" t="s">
        <v>169</v>
      </c>
      <c r="F1057" t="s">
        <v>170</v>
      </c>
      <c r="G1057">
        <v>-690</v>
      </c>
      <c r="H1057" t="s">
        <v>153</v>
      </c>
      <c r="I1057" t="s">
        <v>171</v>
      </c>
    </row>
    <row r="1058" spans="1:9">
      <c r="A1058" s="49">
        <v>45964</v>
      </c>
      <c r="B1058" s="50">
        <v>0.8707638888888889</v>
      </c>
      <c r="C1058" t="s">
        <v>167</v>
      </c>
      <c r="D1058" t="s">
        <v>31</v>
      </c>
      <c r="E1058" t="s">
        <v>32</v>
      </c>
      <c r="F1058" t="s">
        <v>168</v>
      </c>
      <c r="G1058">
        <v>3000</v>
      </c>
      <c r="H1058" t="s">
        <v>153</v>
      </c>
      <c r="I1058" t="s">
        <v>64</v>
      </c>
    </row>
    <row r="1059" spans="1:9">
      <c r="A1059" s="49">
        <v>45964</v>
      </c>
      <c r="B1059" s="50">
        <v>0.8687384259259259</v>
      </c>
      <c r="C1059" t="s">
        <v>150</v>
      </c>
      <c r="D1059" t="s">
        <v>35</v>
      </c>
      <c r="E1059" t="s">
        <v>169</v>
      </c>
      <c r="F1059" t="s">
        <v>170</v>
      </c>
      <c r="G1059">
        <v>3000</v>
      </c>
      <c r="H1059" t="s">
        <v>153</v>
      </c>
      <c r="I1059" t="s">
        <v>171</v>
      </c>
    </row>
    <row r="1060" spans="1:9">
      <c r="A1060" s="49">
        <v>45964</v>
      </c>
      <c r="B1060" s="50">
        <v>0.8687384259259259</v>
      </c>
      <c r="C1060" t="s">
        <v>150</v>
      </c>
      <c r="D1060" t="s">
        <v>40</v>
      </c>
      <c r="E1060" t="s">
        <v>172</v>
      </c>
      <c r="F1060" t="s">
        <v>173</v>
      </c>
      <c r="G1060">
        <v>-3000</v>
      </c>
      <c r="H1060" t="s">
        <v>153</v>
      </c>
      <c r="I1060" t="s">
        <v>64</v>
      </c>
    </row>
    <row r="1061" spans="1:9">
      <c r="A1061" s="49">
        <v>45964</v>
      </c>
      <c r="B1061" s="50">
        <v>0.6410069444444444</v>
      </c>
      <c r="C1061" t="s">
        <v>150</v>
      </c>
      <c r="D1061" t="s">
        <v>48</v>
      </c>
      <c r="E1061" t="s">
        <v>185</v>
      </c>
      <c r="F1061" t="s">
        <v>634</v>
      </c>
      <c r="G1061">
        <v>-5500</v>
      </c>
      <c r="H1061" t="s">
        <v>153</v>
      </c>
      <c r="I1061" t="s">
        <v>214</v>
      </c>
    </row>
    <row r="1062" spans="1:9">
      <c r="A1062" s="49">
        <v>45964</v>
      </c>
      <c r="B1062" s="50">
        <v>0.5709953703703704</v>
      </c>
      <c r="C1062" t="s">
        <v>150</v>
      </c>
      <c r="D1062" t="s">
        <v>48</v>
      </c>
      <c r="E1062" t="s">
        <v>185</v>
      </c>
      <c r="F1062" t="s">
        <v>634</v>
      </c>
      <c r="G1062">
        <v>-6800</v>
      </c>
      <c r="H1062" t="s">
        <v>153</v>
      </c>
      <c r="I1062" t="s">
        <v>214</v>
      </c>
    </row>
    <row r="1063" spans="1:9">
      <c r="A1063" s="49">
        <v>45964</v>
      </c>
      <c r="B1063" s="50">
        <v>0.5426851851851852</v>
      </c>
      <c r="C1063" t="s">
        <v>150</v>
      </c>
      <c r="D1063" t="s">
        <v>35</v>
      </c>
      <c r="E1063" t="s">
        <v>174</v>
      </c>
      <c r="F1063" t="s">
        <v>314</v>
      </c>
      <c r="G1063">
        <v>-20000</v>
      </c>
      <c r="H1063" t="s">
        <v>153</v>
      </c>
      <c r="I1063" t="s">
        <v>64</v>
      </c>
    </row>
    <row r="1064" spans="1:9">
      <c r="A1064" s="49">
        <v>45963</v>
      </c>
      <c r="B1064" s="50">
        <v>0.4810532407407407</v>
      </c>
      <c r="C1064" t="s">
        <v>150</v>
      </c>
      <c r="D1064" t="s">
        <v>35</v>
      </c>
      <c r="E1064" t="s">
        <v>169</v>
      </c>
      <c r="F1064" t="s">
        <v>170</v>
      </c>
      <c r="G1064">
        <v>-4900</v>
      </c>
      <c r="H1064" t="s">
        <v>153</v>
      </c>
      <c r="I1064" t="s">
        <v>171</v>
      </c>
    </row>
    <row r="1065" spans="1:9">
      <c r="A1065" s="49">
        <v>45963</v>
      </c>
      <c r="B1065" s="50">
        <v>0.06406249999999999</v>
      </c>
      <c r="C1065" t="s">
        <v>150</v>
      </c>
      <c r="D1065" t="s">
        <v>37</v>
      </c>
      <c r="E1065" t="s">
        <v>486</v>
      </c>
      <c r="F1065" t="s">
        <v>635</v>
      </c>
      <c r="G1065">
        <v>-1000</v>
      </c>
      <c r="H1065" t="s">
        <v>153</v>
      </c>
      <c r="I1065" t="s">
        <v>214</v>
      </c>
    </row>
    <row r="1066" spans="1:9">
      <c r="A1066" s="49">
        <v>45963</v>
      </c>
      <c r="B1066" s="50">
        <v>0.03054398148148148</v>
      </c>
      <c r="C1066" t="s">
        <v>150</v>
      </c>
      <c r="D1066" t="s">
        <v>37</v>
      </c>
      <c r="E1066" t="s">
        <v>486</v>
      </c>
      <c r="F1066" t="s">
        <v>635</v>
      </c>
      <c r="G1066">
        <v>-1000</v>
      </c>
      <c r="H1066" t="s">
        <v>153</v>
      </c>
      <c r="I1066" t="s">
        <v>214</v>
      </c>
    </row>
    <row r="1067" spans="1:9">
      <c r="A1067" s="49">
        <v>45962</v>
      </c>
      <c r="B1067" s="50">
        <v>0.7948263888888889</v>
      </c>
      <c r="C1067" t="s">
        <v>150</v>
      </c>
      <c r="D1067" t="s">
        <v>48</v>
      </c>
      <c r="E1067" t="s">
        <v>185</v>
      </c>
      <c r="F1067" t="s">
        <v>362</v>
      </c>
      <c r="G1067">
        <v>-3000</v>
      </c>
      <c r="H1067" t="s">
        <v>153</v>
      </c>
      <c r="I1067" t="s">
        <v>214</v>
      </c>
    </row>
    <row r="1068" spans="1:9">
      <c r="A1068" s="49">
        <v>45962</v>
      </c>
      <c r="B1068" s="50">
        <v>0.09782407407407408</v>
      </c>
      <c r="C1068" t="s">
        <v>167</v>
      </c>
      <c r="D1068" t="s">
        <v>28</v>
      </c>
      <c r="E1068" t="s">
        <v>32</v>
      </c>
      <c r="F1068" t="s">
        <v>274</v>
      </c>
      <c r="G1068">
        <v>0</v>
      </c>
      <c r="H1068" t="s">
        <v>153</v>
      </c>
      <c r="I1068" t="s">
        <v>61</v>
      </c>
    </row>
    <row r="1069" spans="1:9">
      <c r="A1069" s="49">
        <v>45962</v>
      </c>
      <c r="B1069" s="50">
        <v>0.02708333333333333</v>
      </c>
      <c r="C1069" t="s">
        <v>155</v>
      </c>
      <c r="D1069" t="s">
        <v>155</v>
      </c>
      <c r="E1069" t="s">
        <v>32</v>
      </c>
      <c r="F1069" t="s">
        <v>246</v>
      </c>
      <c r="G1069">
        <v>-100000</v>
      </c>
      <c r="H1069" t="s">
        <v>153</v>
      </c>
      <c r="I1069" t="s">
        <v>64</v>
      </c>
    </row>
    <row r="1070" spans="1:9">
      <c r="A1070" s="49">
        <v>45961</v>
      </c>
      <c r="B1070" s="50">
        <v>0.7671643518518518</v>
      </c>
      <c r="C1070" t="s">
        <v>167</v>
      </c>
      <c r="D1070" t="s">
        <v>31</v>
      </c>
      <c r="E1070" t="s">
        <v>32</v>
      </c>
      <c r="F1070" t="s">
        <v>168</v>
      </c>
      <c r="G1070">
        <v>3000</v>
      </c>
      <c r="H1070" t="s">
        <v>153</v>
      </c>
      <c r="I1070" t="s">
        <v>64</v>
      </c>
    </row>
    <row r="1071" spans="1:9">
      <c r="A1071" s="49">
        <v>45961</v>
      </c>
      <c r="B1071" s="50">
        <v>0.7671527777777778</v>
      </c>
      <c r="C1071" t="s">
        <v>150</v>
      </c>
      <c r="D1071" t="s">
        <v>35</v>
      </c>
      <c r="E1071" t="s">
        <v>169</v>
      </c>
      <c r="F1071" t="s">
        <v>170</v>
      </c>
      <c r="G1071">
        <v>-1610</v>
      </c>
      <c r="H1071" t="s">
        <v>153</v>
      </c>
      <c r="I1071" t="s">
        <v>171</v>
      </c>
    </row>
    <row r="1072" spans="1:9">
      <c r="A1072" s="49">
        <v>45961</v>
      </c>
      <c r="B1072" s="50">
        <v>0.762824074074074</v>
      </c>
      <c r="C1072" t="s">
        <v>150</v>
      </c>
      <c r="D1072" t="s">
        <v>35</v>
      </c>
      <c r="E1072" t="s">
        <v>169</v>
      </c>
      <c r="F1072" t="s">
        <v>170</v>
      </c>
      <c r="G1072">
        <v>3000</v>
      </c>
      <c r="H1072" t="s">
        <v>153</v>
      </c>
      <c r="I1072" t="s">
        <v>171</v>
      </c>
    </row>
    <row r="1073" spans="1:9">
      <c r="A1073" s="49">
        <v>45961</v>
      </c>
      <c r="B1073" s="50">
        <v>0.7628125</v>
      </c>
      <c r="C1073" t="s">
        <v>150</v>
      </c>
      <c r="D1073" t="s">
        <v>40</v>
      </c>
      <c r="E1073" t="s">
        <v>172</v>
      </c>
      <c r="F1073" t="s">
        <v>173</v>
      </c>
      <c r="G1073">
        <v>-3000</v>
      </c>
      <c r="H1073" t="s">
        <v>153</v>
      </c>
      <c r="I1073" t="s">
        <v>64</v>
      </c>
    </row>
    <row r="1074" spans="1:9">
      <c r="A1074" s="49">
        <v>45961</v>
      </c>
      <c r="B1074" s="50">
        <v>0.6213773148148148</v>
      </c>
      <c r="C1074" t="s">
        <v>150</v>
      </c>
      <c r="D1074" t="s">
        <v>35</v>
      </c>
      <c r="E1074" t="s">
        <v>482</v>
      </c>
      <c r="F1074" t="s">
        <v>605</v>
      </c>
      <c r="G1074">
        <v>-239200</v>
      </c>
      <c r="H1074" t="s">
        <v>153</v>
      </c>
      <c r="I1074" t="s">
        <v>164</v>
      </c>
    </row>
    <row r="1075" spans="1:9">
      <c r="A1075" s="49">
        <v>45961</v>
      </c>
      <c r="B1075" s="50">
        <v>0.6212731481481482</v>
      </c>
      <c r="C1075" t="s">
        <v>155</v>
      </c>
      <c r="D1075" t="s">
        <v>155</v>
      </c>
      <c r="E1075" t="s">
        <v>32</v>
      </c>
      <c r="F1075" t="s">
        <v>160</v>
      </c>
      <c r="G1075">
        <v>-237433</v>
      </c>
      <c r="H1075" t="s">
        <v>153</v>
      </c>
      <c r="I1075" t="s">
        <v>64</v>
      </c>
    </row>
    <row r="1076" spans="1:9">
      <c r="A1076" s="49">
        <v>45961</v>
      </c>
      <c r="B1076" s="50">
        <v>0.5924074074074074</v>
      </c>
      <c r="C1076" t="s">
        <v>150</v>
      </c>
      <c r="D1076" t="s">
        <v>37</v>
      </c>
      <c r="E1076" t="s">
        <v>486</v>
      </c>
      <c r="F1076" t="s">
        <v>636</v>
      </c>
      <c r="G1076">
        <v>-57500</v>
      </c>
      <c r="H1076" t="s">
        <v>153</v>
      </c>
      <c r="I1076" t="s">
        <v>214</v>
      </c>
    </row>
    <row r="1077" spans="1:9">
      <c r="A1077" s="49">
        <v>45961</v>
      </c>
      <c r="B1077" s="50">
        <v>0.4407638888888889</v>
      </c>
      <c r="C1077" t="s">
        <v>150</v>
      </c>
      <c r="D1077" t="s">
        <v>48</v>
      </c>
      <c r="E1077" t="s">
        <v>185</v>
      </c>
      <c r="F1077" t="s">
        <v>186</v>
      </c>
      <c r="G1077">
        <v>-6000</v>
      </c>
      <c r="H1077" t="s">
        <v>153</v>
      </c>
      <c r="I1077" t="s">
        <v>214</v>
      </c>
    </row>
    <row r="1078" spans="1:9">
      <c r="A1078" s="49">
        <v>45961</v>
      </c>
      <c r="B1078" s="50">
        <v>0.4387037037037037</v>
      </c>
      <c r="C1078" t="s">
        <v>167</v>
      </c>
      <c r="D1078" t="s">
        <v>31</v>
      </c>
      <c r="E1078" t="s">
        <v>32</v>
      </c>
      <c r="F1078" t="s">
        <v>168</v>
      </c>
      <c r="G1078">
        <v>3000</v>
      </c>
      <c r="H1078" t="s">
        <v>153</v>
      </c>
      <c r="I1078" t="s">
        <v>64</v>
      </c>
    </row>
    <row r="1079" spans="1:9">
      <c r="A1079" s="49">
        <v>45961</v>
      </c>
      <c r="B1079" s="50">
        <v>0.4386921296296296</v>
      </c>
      <c r="C1079" t="s">
        <v>150</v>
      </c>
      <c r="D1079" t="s">
        <v>35</v>
      </c>
      <c r="E1079" t="s">
        <v>169</v>
      </c>
      <c r="F1079" t="s">
        <v>170</v>
      </c>
      <c r="G1079">
        <v>-690</v>
      </c>
      <c r="H1079" t="s">
        <v>153</v>
      </c>
      <c r="I1079" t="s">
        <v>171</v>
      </c>
    </row>
    <row r="1080" spans="1:9">
      <c r="A1080" s="49">
        <v>45961</v>
      </c>
      <c r="B1080" s="50">
        <v>0.4367361111111111</v>
      </c>
      <c r="C1080" t="s">
        <v>150</v>
      </c>
      <c r="D1080" t="s">
        <v>35</v>
      </c>
      <c r="E1080" t="s">
        <v>169</v>
      </c>
      <c r="F1080" t="s">
        <v>170</v>
      </c>
      <c r="G1080">
        <v>3000</v>
      </c>
      <c r="H1080" t="s">
        <v>153</v>
      </c>
      <c r="I1080" t="s">
        <v>171</v>
      </c>
    </row>
    <row r="1081" spans="1:9">
      <c r="A1081" s="49">
        <v>45961</v>
      </c>
      <c r="B1081" s="50">
        <v>0.4367361111111111</v>
      </c>
      <c r="C1081" t="s">
        <v>150</v>
      </c>
      <c r="D1081" t="s">
        <v>40</v>
      </c>
      <c r="E1081" t="s">
        <v>172</v>
      </c>
      <c r="F1081" t="s">
        <v>173</v>
      </c>
      <c r="G1081">
        <v>-3000</v>
      </c>
      <c r="H1081" t="s">
        <v>153</v>
      </c>
      <c r="I1081" t="s">
        <v>64</v>
      </c>
    </row>
    <row r="1082" spans="1:9">
      <c r="A1082" s="49">
        <v>45960</v>
      </c>
      <c r="B1082" s="50">
        <v>0.5940625</v>
      </c>
      <c r="C1082" t="s">
        <v>150</v>
      </c>
      <c r="D1082" t="s">
        <v>36</v>
      </c>
      <c r="E1082" t="s">
        <v>191</v>
      </c>
      <c r="F1082" t="s">
        <v>192</v>
      </c>
      <c r="G1082">
        <v>-17333</v>
      </c>
      <c r="H1082" t="s">
        <v>153</v>
      </c>
      <c r="I1082" t="s">
        <v>157</v>
      </c>
    </row>
    <row r="1083" spans="1:9">
      <c r="A1083" s="49">
        <v>45960</v>
      </c>
      <c r="B1083" s="50">
        <v>0.5940509259259259</v>
      </c>
      <c r="C1083" t="s">
        <v>155</v>
      </c>
      <c r="D1083" t="s">
        <v>158</v>
      </c>
      <c r="E1083" t="s">
        <v>32</v>
      </c>
      <c r="F1083" t="s">
        <v>159</v>
      </c>
      <c r="G1083">
        <v>10000</v>
      </c>
      <c r="H1083" t="s">
        <v>153</v>
      </c>
      <c r="I1083" t="s">
        <v>157</v>
      </c>
    </row>
    <row r="1084" spans="1:9">
      <c r="A1084" s="49">
        <v>45960</v>
      </c>
      <c r="B1084" s="50">
        <v>0.5940509259259259</v>
      </c>
      <c r="C1084" t="s">
        <v>155</v>
      </c>
      <c r="D1084" t="s">
        <v>158</v>
      </c>
      <c r="E1084" t="s">
        <v>32</v>
      </c>
      <c r="F1084" t="s">
        <v>160</v>
      </c>
      <c r="G1084">
        <v>-10000</v>
      </c>
      <c r="H1084" t="s">
        <v>153</v>
      </c>
      <c r="I1084" t="s">
        <v>64</v>
      </c>
    </row>
    <row r="1085" spans="1:9">
      <c r="A1085" s="49">
        <v>45960</v>
      </c>
      <c r="B1085" s="50">
        <v>0.1721180555555556</v>
      </c>
      <c r="C1085" t="s">
        <v>155</v>
      </c>
      <c r="D1085" t="s">
        <v>155</v>
      </c>
      <c r="E1085" t="s">
        <v>32</v>
      </c>
      <c r="F1085" t="s">
        <v>156</v>
      </c>
      <c r="G1085">
        <v>5000</v>
      </c>
      <c r="H1085" t="s">
        <v>153</v>
      </c>
      <c r="I1085" t="s">
        <v>157</v>
      </c>
    </row>
    <row r="1086" spans="1:9">
      <c r="A1086" s="49">
        <v>45960</v>
      </c>
      <c r="B1086" s="50">
        <v>0.01284722222222222</v>
      </c>
      <c r="C1086" t="s">
        <v>150</v>
      </c>
      <c r="D1086" t="s">
        <v>37</v>
      </c>
      <c r="E1086" t="s">
        <v>486</v>
      </c>
      <c r="F1086" t="s">
        <v>637</v>
      </c>
      <c r="G1086">
        <v>-5000</v>
      </c>
      <c r="H1086" t="s">
        <v>153</v>
      </c>
      <c r="I1086" t="s">
        <v>164</v>
      </c>
    </row>
    <row r="1087" spans="1:9">
      <c r="A1087" s="49">
        <v>45959</v>
      </c>
      <c r="B1087" s="50">
        <v>0.9980208333333334</v>
      </c>
      <c r="C1087" t="s">
        <v>150</v>
      </c>
      <c r="D1087" t="s">
        <v>37</v>
      </c>
      <c r="E1087" t="s">
        <v>457</v>
      </c>
      <c r="F1087" t="s">
        <v>638</v>
      </c>
      <c r="G1087">
        <v>-65800</v>
      </c>
      <c r="H1087" t="s">
        <v>153</v>
      </c>
      <c r="I1087" t="s">
        <v>214</v>
      </c>
    </row>
    <row r="1088" spans="1:9">
      <c r="A1088" s="49">
        <v>45959</v>
      </c>
      <c r="B1088" s="50">
        <v>0.8746412037037037</v>
      </c>
      <c r="C1088" t="s">
        <v>150</v>
      </c>
      <c r="D1088" t="s">
        <v>42</v>
      </c>
      <c r="E1088" t="s">
        <v>177</v>
      </c>
      <c r="F1088" t="s">
        <v>639</v>
      </c>
      <c r="G1088">
        <v>-51500</v>
      </c>
      <c r="H1088" t="s">
        <v>153</v>
      </c>
      <c r="I1088" t="s">
        <v>214</v>
      </c>
    </row>
    <row r="1089" spans="1:9">
      <c r="A1089" s="49">
        <v>45959</v>
      </c>
      <c r="B1089" s="50">
        <v>0.8419212962962963</v>
      </c>
      <c r="C1089" t="s">
        <v>150</v>
      </c>
      <c r="D1089" t="s">
        <v>41</v>
      </c>
      <c r="E1089" t="s">
        <v>298</v>
      </c>
      <c r="F1089" t="s">
        <v>299</v>
      </c>
      <c r="G1089">
        <v>-18900</v>
      </c>
      <c r="H1089" t="s">
        <v>153</v>
      </c>
      <c r="I1089" t="s">
        <v>171</v>
      </c>
    </row>
    <row r="1090" spans="1:9">
      <c r="A1090" s="49">
        <v>45959</v>
      </c>
      <c r="B1090" s="50">
        <v>0.5973958333333333</v>
      </c>
      <c r="C1090" t="s">
        <v>150</v>
      </c>
      <c r="D1090" t="s">
        <v>40</v>
      </c>
      <c r="E1090" t="s">
        <v>172</v>
      </c>
      <c r="F1090" t="s">
        <v>379</v>
      </c>
      <c r="G1090">
        <v>-3900</v>
      </c>
      <c r="H1090" t="s">
        <v>153</v>
      </c>
      <c r="I1090" t="s">
        <v>214</v>
      </c>
    </row>
    <row r="1091" spans="1:9">
      <c r="A1091" s="49">
        <v>45959</v>
      </c>
      <c r="B1091" s="50">
        <v>0.5660648148148149</v>
      </c>
      <c r="C1091" t="s">
        <v>150</v>
      </c>
      <c r="D1091" t="s">
        <v>40</v>
      </c>
      <c r="E1091" t="s">
        <v>380</v>
      </c>
      <c r="F1091" t="s">
        <v>381</v>
      </c>
      <c r="G1091">
        <v>-900</v>
      </c>
      <c r="H1091" t="s">
        <v>153</v>
      </c>
      <c r="I1091" t="s">
        <v>164</v>
      </c>
    </row>
    <row r="1092" spans="1:9">
      <c r="A1092" s="49">
        <v>45959</v>
      </c>
      <c r="B1092" s="50">
        <v>0.5660648148148149</v>
      </c>
      <c r="C1092" t="s">
        <v>155</v>
      </c>
      <c r="D1092" t="s">
        <v>158</v>
      </c>
      <c r="E1092" t="s">
        <v>32</v>
      </c>
      <c r="F1092" t="s">
        <v>159</v>
      </c>
      <c r="G1092">
        <v>10000</v>
      </c>
      <c r="H1092" t="s">
        <v>153</v>
      </c>
      <c r="I1092" t="s">
        <v>157</v>
      </c>
    </row>
    <row r="1093" spans="1:9">
      <c r="A1093" s="49">
        <v>45959</v>
      </c>
      <c r="B1093" s="50">
        <v>0.5660648148148149</v>
      </c>
      <c r="C1093" t="s">
        <v>155</v>
      </c>
      <c r="D1093" t="s">
        <v>158</v>
      </c>
      <c r="E1093" t="s">
        <v>32</v>
      </c>
      <c r="F1093" t="s">
        <v>160</v>
      </c>
      <c r="G1093">
        <v>-10000</v>
      </c>
      <c r="H1093" t="s">
        <v>153</v>
      </c>
      <c r="I1093" t="s">
        <v>64</v>
      </c>
    </row>
    <row r="1094" spans="1:9">
      <c r="A1094" s="49">
        <v>45959</v>
      </c>
      <c r="B1094" s="50">
        <v>0.5655555555555556</v>
      </c>
      <c r="C1094" t="s">
        <v>150</v>
      </c>
      <c r="D1094" t="s">
        <v>44</v>
      </c>
      <c r="E1094" t="s">
        <v>225</v>
      </c>
      <c r="F1094" t="s">
        <v>395</v>
      </c>
      <c r="G1094">
        <v>-14900</v>
      </c>
      <c r="H1094" t="s">
        <v>153</v>
      </c>
      <c r="I1094" t="s">
        <v>171</v>
      </c>
    </row>
    <row r="1095" spans="1:9">
      <c r="A1095" s="49">
        <v>45959</v>
      </c>
      <c r="B1095" s="50">
        <v>0.3291203703703704</v>
      </c>
      <c r="C1095" t="s">
        <v>150</v>
      </c>
      <c r="D1095" t="s">
        <v>44</v>
      </c>
      <c r="E1095" t="s">
        <v>315</v>
      </c>
      <c r="F1095" t="s">
        <v>316</v>
      </c>
      <c r="G1095">
        <v>-14000</v>
      </c>
      <c r="H1095" t="s">
        <v>153</v>
      </c>
      <c r="I1095" t="s">
        <v>164</v>
      </c>
    </row>
    <row r="1096" spans="1:9">
      <c r="A1096" s="49">
        <v>45959</v>
      </c>
      <c r="B1096" s="50">
        <v>0.0255787037037037</v>
      </c>
      <c r="C1096" t="s">
        <v>150</v>
      </c>
      <c r="D1096" t="s">
        <v>40</v>
      </c>
      <c r="E1096" t="s">
        <v>172</v>
      </c>
      <c r="F1096" t="s">
        <v>640</v>
      </c>
      <c r="G1096">
        <v>0</v>
      </c>
      <c r="H1096" t="s">
        <v>153</v>
      </c>
      <c r="I1096" t="s">
        <v>164</v>
      </c>
    </row>
    <row r="1097" spans="1:9">
      <c r="A1097" s="49">
        <v>45958</v>
      </c>
      <c r="B1097" s="50">
        <v>0.9252546296296297</v>
      </c>
      <c r="C1097" t="s">
        <v>150</v>
      </c>
      <c r="D1097" t="s">
        <v>40</v>
      </c>
      <c r="E1097" t="s">
        <v>172</v>
      </c>
      <c r="F1097" t="s">
        <v>485</v>
      </c>
      <c r="G1097">
        <v>-3600</v>
      </c>
      <c r="H1097" t="s">
        <v>153</v>
      </c>
      <c r="I1097" t="s">
        <v>214</v>
      </c>
    </row>
    <row r="1098" spans="1:9">
      <c r="A1098" s="49">
        <v>45958</v>
      </c>
      <c r="B1098" s="50">
        <v>0.7644212962962963</v>
      </c>
      <c r="C1098" t="s">
        <v>150</v>
      </c>
      <c r="D1098" t="s">
        <v>42</v>
      </c>
      <c r="E1098" t="s">
        <v>463</v>
      </c>
      <c r="F1098" t="s">
        <v>641</v>
      </c>
      <c r="G1098">
        <v>-84000</v>
      </c>
      <c r="H1098" t="s">
        <v>153</v>
      </c>
      <c r="I1098" t="s">
        <v>214</v>
      </c>
    </row>
    <row r="1099" spans="1:9">
      <c r="A1099" s="49">
        <v>45957</v>
      </c>
      <c r="B1099" s="50">
        <v>0.3811689814814815</v>
      </c>
      <c r="C1099" t="s">
        <v>150</v>
      </c>
      <c r="D1099" t="s">
        <v>44</v>
      </c>
      <c r="E1099" t="s">
        <v>315</v>
      </c>
      <c r="F1099" t="s">
        <v>316</v>
      </c>
      <c r="G1099">
        <v>-29000</v>
      </c>
      <c r="H1099" t="s">
        <v>153</v>
      </c>
      <c r="I1099" t="s">
        <v>164</v>
      </c>
    </row>
    <row r="1100" spans="1:9">
      <c r="A1100" s="49">
        <v>45957</v>
      </c>
      <c r="B1100" s="50">
        <v>0.3811689814814815</v>
      </c>
      <c r="C1100" t="s">
        <v>155</v>
      </c>
      <c r="D1100" t="s">
        <v>158</v>
      </c>
      <c r="E1100" t="s">
        <v>32</v>
      </c>
      <c r="F1100" t="s">
        <v>159</v>
      </c>
      <c r="G1100">
        <v>20967</v>
      </c>
      <c r="H1100" t="s">
        <v>153</v>
      </c>
      <c r="I1100" t="s">
        <v>157</v>
      </c>
    </row>
    <row r="1101" spans="1:9">
      <c r="A1101" s="49">
        <v>45957</v>
      </c>
      <c r="B1101" s="50">
        <v>0.3811689814814815</v>
      </c>
      <c r="C1101" t="s">
        <v>155</v>
      </c>
      <c r="D1101" t="s">
        <v>158</v>
      </c>
      <c r="E1101" t="s">
        <v>32</v>
      </c>
      <c r="F1101" t="s">
        <v>160</v>
      </c>
      <c r="G1101">
        <v>-20967</v>
      </c>
      <c r="H1101" t="s">
        <v>153</v>
      </c>
      <c r="I1101" t="s">
        <v>64</v>
      </c>
    </row>
    <row r="1102" spans="1:9">
      <c r="A1102" s="49">
        <v>45957</v>
      </c>
      <c r="B1102" s="50">
        <v>0.005729166666666666</v>
      </c>
      <c r="C1102" t="s">
        <v>167</v>
      </c>
      <c r="D1102" t="s">
        <v>29</v>
      </c>
      <c r="E1102" t="s">
        <v>32</v>
      </c>
      <c r="F1102" t="s">
        <v>302</v>
      </c>
      <c r="G1102">
        <v>1000000</v>
      </c>
      <c r="H1102" t="s">
        <v>153</v>
      </c>
      <c r="I1102" t="s">
        <v>64</v>
      </c>
    </row>
    <row r="1103" spans="1:9">
      <c r="A1103" s="49">
        <v>45955</v>
      </c>
      <c r="B1103" s="50">
        <v>0.6331134259259259</v>
      </c>
      <c r="C1103" t="s">
        <v>150</v>
      </c>
      <c r="D1103" t="s">
        <v>37</v>
      </c>
      <c r="E1103" t="s">
        <v>410</v>
      </c>
      <c r="F1103" t="s">
        <v>411</v>
      </c>
      <c r="G1103">
        <v>-19800</v>
      </c>
      <c r="H1103" t="s">
        <v>153</v>
      </c>
      <c r="I1103" t="s">
        <v>171</v>
      </c>
    </row>
    <row r="1104" spans="1:9">
      <c r="A1104" s="49">
        <v>45955</v>
      </c>
      <c r="B1104" s="50">
        <v>0.2011921296296296</v>
      </c>
      <c r="C1104" t="s">
        <v>167</v>
      </c>
      <c r="D1104" t="s">
        <v>28</v>
      </c>
      <c r="E1104" t="s">
        <v>32</v>
      </c>
      <c r="F1104" t="s">
        <v>278</v>
      </c>
      <c r="G1104">
        <v>130</v>
      </c>
      <c r="H1104" t="s">
        <v>153</v>
      </c>
      <c r="I1104" t="s">
        <v>64</v>
      </c>
    </row>
    <row r="1105" spans="1:9">
      <c r="A1105" s="49">
        <v>45955</v>
      </c>
      <c r="B1105" s="50">
        <v>0.1107407407407407</v>
      </c>
      <c r="C1105" t="s">
        <v>155</v>
      </c>
      <c r="D1105" t="s">
        <v>241</v>
      </c>
      <c r="E1105" t="s">
        <v>32</v>
      </c>
      <c r="F1105" t="s">
        <v>279</v>
      </c>
      <c r="G1105">
        <v>0</v>
      </c>
      <c r="H1105" t="s">
        <v>153</v>
      </c>
      <c r="I1105" t="s">
        <v>62</v>
      </c>
    </row>
    <row r="1106" spans="1:9">
      <c r="A1106" s="49">
        <v>45954</v>
      </c>
      <c r="B1106" s="50">
        <v>0.8295486111111111</v>
      </c>
      <c r="C1106" t="s">
        <v>150</v>
      </c>
      <c r="D1106" t="s">
        <v>42</v>
      </c>
      <c r="E1106" t="s">
        <v>177</v>
      </c>
      <c r="F1106" t="s">
        <v>454</v>
      </c>
      <c r="G1106">
        <v>-69000</v>
      </c>
      <c r="H1106" t="s">
        <v>153</v>
      </c>
      <c r="I1106" t="s">
        <v>214</v>
      </c>
    </row>
    <row r="1107" spans="1:9">
      <c r="A1107" s="49">
        <v>45954</v>
      </c>
      <c r="B1107" s="50">
        <v>0.4371875</v>
      </c>
      <c r="C1107" t="s">
        <v>150</v>
      </c>
      <c r="D1107" t="s">
        <v>44</v>
      </c>
      <c r="E1107" t="s">
        <v>225</v>
      </c>
      <c r="F1107" t="s">
        <v>642</v>
      </c>
      <c r="G1107">
        <v>-2724</v>
      </c>
      <c r="H1107" t="s">
        <v>153</v>
      </c>
      <c r="I1107" t="s">
        <v>214</v>
      </c>
    </row>
    <row r="1108" spans="1:9">
      <c r="A1108" s="49">
        <v>45954</v>
      </c>
      <c r="B1108" s="50">
        <v>0.4166435185185185</v>
      </c>
      <c r="C1108" t="s">
        <v>150</v>
      </c>
      <c r="D1108" t="s">
        <v>48</v>
      </c>
      <c r="E1108" t="s">
        <v>185</v>
      </c>
      <c r="F1108" t="s">
        <v>643</v>
      </c>
      <c r="G1108">
        <v>-11800</v>
      </c>
      <c r="H1108" t="s">
        <v>153</v>
      </c>
      <c r="I1108" t="s">
        <v>214</v>
      </c>
    </row>
    <row r="1109" spans="1:9">
      <c r="A1109" s="49">
        <v>45953</v>
      </c>
      <c r="B1109" s="50">
        <v>0.8887384259259259</v>
      </c>
      <c r="C1109" t="s">
        <v>150</v>
      </c>
      <c r="D1109" t="s">
        <v>40</v>
      </c>
      <c r="E1109" t="s">
        <v>172</v>
      </c>
      <c r="F1109" t="s">
        <v>379</v>
      </c>
      <c r="G1109">
        <v>-4500</v>
      </c>
      <c r="H1109" t="s">
        <v>153</v>
      </c>
      <c r="I1109" t="s">
        <v>214</v>
      </c>
    </row>
    <row r="1110" spans="1:9">
      <c r="A1110" s="49">
        <v>45953</v>
      </c>
      <c r="B1110" s="50">
        <v>0.8867476851851852</v>
      </c>
      <c r="C1110" t="s">
        <v>150</v>
      </c>
      <c r="D1110" t="s">
        <v>40</v>
      </c>
      <c r="E1110" t="s">
        <v>172</v>
      </c>
      <c r="F1110" t="s">
        <v>379</v>
      </c>
      <c r="G1110">
        <v>-2900</v>
      </c>
      <c r="H1110" t="s">
        <v>153</v>
      </c>
      <c r="I1110" t="s">
        <v>214</v>
      </c>
    </row>
    <row r="1111" spans="1:9">
      <c r="A1111" s="49">
        <v>45953</v>
      </c>
      <c r="B1111" s="50">
        <v>0.8109259259259259</v>
      </c>
      <c r="C1111" t="s">
        <v>150</v>
      </c>
      <c r="D1111" t="s">
        <v>41</v>
      </c>
      <c r="E1111" t="s">
        <v>298</v>
      </c>
      <c r="F1111" t="s">
        <v>299</v>
      </c>
      <c r="G1111">
        <v>-19400</v>
      </c>
      <c r="H1111" t="s">
        <v>153</v>
      </c>
      <c r="I1111" t="s">
        <v>171</v>
      </c>
    </row>
    <row r="1112" spans="1:9">
      <c r="A1112" s="49">
        <v>45953</v>
      </c>
      <c r="B1112" s="50">
        <v>0.6037731481481482</v>
      </c>
      <c r="C1112" t="s">
        <v>150</v>
      </c>
      <c r="D1112" t="s">
        <v>35</v>
      </c>
      <c r="E1112" t="s">
        <v>169</v>
      </c>
      <c r="F1112" t="s">
        <v>563</v>
      </c>
      <c r="G1112">
        <v>-1920</v>
      </c>
      <c r="H1112" t="s">
        <v>153</v>
      </c>
      <c r="I1112" t="s">
        <v>164</v>
      </c>
    </row>
    <row r="1113" spans="1:9">
      <c r="A1113" s="49">
        <v>45951</v>
      </c>
      <c r="B1113" s="50">
        <v>0.7596180555555555</v>
      </c>
      <c r="C1113" t="s">
        <v>150</v>
      </c>
      <c r="D1113" t="s">
        <v>43</v>
      </c>
      <c r="E1113" t="s">
        <v>644</v>
      </c>
      <c r="F1113" t="s">
        <v>645</v>
      </c>
      <c r="G1113">
        <v>-32990</v>
      </c>
      <c r="H1113" t="s">
        <v>153</v>
      </c>
      <c r="I1113" t="s">
        <v>64</v>
      </c>
    </row>
    <row r="1114" spans="1:9">
      <c r="A1114" s="49">
        <v>45950</v>
      </c>
      <c r="B1114" s="50">
        <v>0.7598726851851851</v>
      </c>
      <c r="C1114" t="s">
        <v>155</v>
      </c>
      <c r="D1114" t="s">
        <v>158</v>
      </c>
      <c r="E1114" t="s">
        <v>32</v>
      </c>
      <c r="F1114" t="s">
        <v>7</v>
      </c>
      <c r="G1114">
        <v>-10000000</v>
      </c>
      <c r="H1114" t="s">
        <v>153</v>
      </c>
      <c r="I1114" t="s">
        <v>64</v>
      </c>
    </row>
    <row r="1115" spans="1:9">
      <c r="A1115" s="49">
        <v>45950</v>
      </c>
      <c r="B1115" s="50">
        <v>0.7593287037037038</v>
      </c>
      <c r="C1115" t="s">
        <v>155</v>
      </c>
      <c r="D1115" t="s">
        <v>158</v>
      </c>
      <c r="E1115" t="s">
        <v>32</v>
      </c>
      <c r="F1115" t="s">
        <v>7</v>
      </c>
      <c r="G1115">
        <v>9616516</v>
      </c>
      <c r="H1115" t="s">
        <v>153</v>
      </c>
      <c r="I1115" t="s">
        <v>64</v>
      </c>
    </row>
    <row r="1116" spans="1:9">
      <c r="A1116" s="49">
        <v>45950</v>
      </c>
      <c r="B1116" s="50">
        <v>0.7593171296296296</v>
      </c>
      <c r="C1116" t="s">
        <v>155</v>
      </c>
      <c r="D1116" t="s">
        <v>158</v>
      </c>
      <c r="E1116" t="s">
        <v>32</v>
      </c>
      <c r="F1116" t="s">
        <v>7</v>
      </c>
      <c r="G1116">
        <v>-9616516</v>
      </c>
      <c r="H1116" t="s">
        <v>153</v>
      </c>
      <c r="I1116" t="s">
        <v>61</v>
      </c>
    </row>
    <row r="1117" spans="1:9">
      <c r="A1117" s="49">
        <v>45950</v>
      </c>
      <c r="B1117" s="50">
        <v>0.5660185185185185</v>
      </c>
      <c r="C1117" t="s">
        <v>155</v>
      </c>
      <c r="D1117" t="s">
        <v>229</v>
      </c>
      <c r="E1117" t="s">
        <v>32</v>
      </c>
      <c r="F1117" t="s">
        <v>432</v>
      </c>
      <c r="G1117">
        <v>463010</v>
      </c>
      <c r="H1117" t="s">
        <v>153</v>
      </c>
      <c r="I1117" t="s">
        <v>64</v>
      </c>
    </row>
    <row r="1118" spans="1:9">
      <c r="A1118" s="49">
        <v>45950</v>
      </c>
      <c r="B1118" s="50">
        <v>0.3858217592592593</v>
      </c>
      <c r="C1118" t="s">
        <v>155</v>
      </c>
      <c r="D1118" t="s">
        <v>155</v>
      </c>
      <c r="E1118" t="s">
        <v>32</v>
      </c>
      <c r="F1118" t="s">
        <v>646</v>
      </c>
      <c r="G1118">
        <v>1</v>
      </c>
      <c r="H1118" t="s">
        <v>153</v>
      </c>
      <c r="I1118" t="s">
        <v>64</v>
      </c>
    </row>
    <row r="1119" spans="1:9">
      <c r="A1119" s="49">
        <v>45950</v>
      </c>
      <c r="B1119" s="50">
        <v>0.3628819444444444</v>
      </c>
      <c r="C1119" t="s">
        <v>155</v>
      </c>
      <c r="D1119" t="s">
        <v>229</v>
      </c>
      <c r="E1119" t="s">
        <v>32</v>
      </c>
      <c r="F1119" t="s">
        <v>647</v>
      </c>
      <c r="G1119">
        <v>9616502</v>
      </c>
      <c r="H1119" t="s">
        <v>153</v>
      </c>
      <c r="I1119" t="s">
        <v>61</v>
      </c>
    </row>
    <row r="1120" spans="1:9">
      <c r="A1120" s="49">
        <v>45950</v>
      </c>
      <c r="B1120" s="50">
        <v>0.008159722222222223</v>
      </c>
      <c r="C1120" t="s">
        <v>155</v>
      </c>
      <c r="D1120" t="s">
        <v>155</v>
      </c>
      <c r="E1120" t="s">
        <v>32</v>
      </c>
      <c r="F1120" t="s">
        <v>648</v>
      </c>
      <c r="G1120">
        <v>-30000</v>
      </c>
      <c r="H1120" t="s">
        <v>153</v>
      </c>
      <c r="I1120" t="s">
        <v>64</v>
      </c>
    </row>
    <row r="1121" spans="1:9">
      <c r="A1121" s="49">
        <v>45949</v>
      </c>
      <c r="B1121" s="50">
        <v>0.9573263888888889</v>
      </c>
      <c r="C1121" t="s">
        <v>150</v>
      </c>
      <c r="D1121" t="s">
        <v>40</v>
      </c>
      <c r="E1121" t="s">
        <v>380</v>
      </c>
      <c r="F1121" t="s">
        <v>381</v>
      </c>
      <c r="G1121">
        <v>-6900</v>
      </c>
      <c r="H1121" t="s">
        <v>153</v>
      </c>
      <c r="I1121" t="s">
        <v>164</v>
      </c>
    </row>
    <row r="1122" spans="1:9">
      <c r="A1122" s="49">
        <v>45949</v>
      </c>
      <c r="B1122" s="50">
        <v>0.9573263888888889</v>
      </c>
      <c r="C1122" t="s">
        <v>155</v>
      </c>
      <c r="D1122" t="s">
        <v>158</v>
      </c>
      <c r="E1122" t="s">
        <v>32</v>
      </c>
      <c r="F1122" t="s">
        <v>159</v>
      </c>
      <c r="G1122">
        <v>10000</v>
      </c>
      <c r="H1122" t="s">
        <v>153</v>
      </c>
      <c r="I1122" t="s">
        <v>157</v>
      </c>
    </row>
    <row r="1123" spans="1:9">
      <c r="A1123" s="49">
        <v>45949</v>
      </c>
      <c r="B1123" s="50">
        <v>0.9573263888888889</v>
      </c>
      <c r="C1123" t="s">
        <v>155</v>
      </c>
      <c r="D1123" t="s">
        <v>158</v>
      </c>
      <c r="E1123" t="s">
        <v>32</v>
      </c>
      <c r="F1123" t="s">
        <v>160</v>
      </c>
      <c r="G1123">
        <v>-10000</v>
      </c>
      <c r="H1123" t="s">
        <v>153</v>
      </c>
      <c r="I1123" t="s">
        <v>64</v>
      </c>
    </row>
    <row r="1124" spans="1:9">
      <c r="A1124" s="49">
        <v>45949</v>
      </c>
      <c r="B1124" s="50">
        <v>0.5580671296296297</v>
      </c>
      <c r="C1124" t="s">
        <v>150</v>
      </c>
      <c r="D1124" t="s">
        <v>48</v>
      </c>
      <c r="E1124" t="s">
        <v>185</v>
      </c>
      <c r="F1124" t="s">
        <v>550</v>
      </c>
      <c r="G1124">
        <v>-4700</v>
      </c>
      <c r="H1124" t="s">
        <v>153</v>
      </c>
      <c r="I1124" t="s">
        <v>214</v>
      </c>
    </row>
    <row r="1125" spans="1:9">
      <c r="A1125" s="49">
        <v>45948</v>
      </c>
      <c r="B1125" s="50">
        <v>0.9681944444444445</v>
      </c>
      <c r="C1125" t="s">
        <v>150</v>
      </c>
      <c r="D1125" t="s">
        <v>42</v>
      </c>
      <c r="E1125" t="s">
        <v>212</v>
      </c>
      <c r="F1125" t="s">
        <v>649</v>
      </c>
      <c r="G1125">
        <v>-63000</v>
      </c>
      <c r="H1125" t="s">
        <v>153</v>
      </c>
      <c r="I1125" t="s">
        <v>214</v>
      </c>
    </row>
    <row r="1126" spans="1:9">
      <c r="A1126" s="49">
        <v>45948</v>
      </c>
      <c r="B1126" s="50">
        <v>0.8140625</v>
      </c>
      <c r="C1126" t="s">
        <v>150</v>
      </c>
      <c r="D1126" t="s">
        <v>42</v>
      </c>
      <c r="E1126" t="s">
        <v>212</v>
      </c>
      <c r="F1126" t="s">
        <v>650</v>
      </c>
      <c r="G1126">
        <v>-82000</v>
      </c>
      <c r="H1126" t="s">
        <v>153</v>
      </c>
      <c r="I1126" t="s">
        <v>214</v>
      </c>
    </row>
    <row r="1127" spans="1:9">
      <c r="A1127" s="49">
        <v>45948</v>
      </c>
      <c r="B1127" s="50">
        <v>0.7458333333333333</v>
      </c>
      <c r="C1127" t="s">
        <v>150</v>
      </c>
      <c r="D1127" t="s">
        <v>35</v>
      </c>
      <c r="E1127" t="s">
        <v>174</v>
      </c>
      <c r="F1127" t="s">
        <v>314</v>
      </c>
      <c r="G1127">
        <v>-10000</v>
      </c>
      <c r="H1127" t="s">
        <v>153</v>
      </c>
      <c r="I1127" t="s">
        <v>64</v>
      </c>
    </row>
    <row r="1128" spans="1:9">
      <c r="A1128" s="49">
        <v>45948</v>
      </c>
      <c r="B1128" s="50">
        <v>0.7156134259259259</v>
      </c>
      <c r="C1128" t="s">
        <v>155</v>
      </c>
      <c r="D1128" t="s">
        <v>155</v>
      </c>
      <c r="E1128" t="s">
        <v>32</v>
      </c>
      <c r="F1128" t="s">
        <v>235</v>
      </c>
      <c r="G1128">
        <v>131504</v>
      </c>
      <c r="H1128" t="s">
        <v>153</v>
      </c>
      <c r="I1128" t="s">
        <v>64</v>
      </c>
    </row>
    <row r="1129" spans="1:9">
      <c r="A1129" s="49">
        <v>45947</v>
      </c>
      <c r="B1129" s="50">
        <v>0.6783333333333333</v>
      </c>
      <c r="C1129" t="s">
        <v>167</v>
      </c>
      <c r="D1129" t="s">
        <v>31</v>
      </c>
      <c r="E1129" t="s">
        <v>32</v>
      </c>
      <c r="F1129" t="s">
        <v>651</v>
      </c>
      <c r="G1129">
        <v>1</v>
      </c>
      <c r="H1129" t="s">
        <v>153</v>
      </c>
      <c r="I1129" t="s">
        <v>64</v>
      </c>
    </row>
    <row r="1130" spans="1:9">
      <c r="A1130" s="49">
        <v>45947</v>
      </c>
      <c r="B1130" s="50">
        <v>0.3920949074074074</v>
      </c>
      <c r="C1130" t="s">
        <v>155</v>
      </c>
      <c r="D1130" t="s">
        <v>155</v>
      </c>
      <c r="E1130" t="s">
        <v>32</v>
      </c>
      <c r="F1130" t="s">
        <v>246</v>
      </c>
      <c r="G1130">
        <v>-100000</v>
      </c>
      <c r="H1130" t="s">
        <v>153</v>
      </c>
      <c r="I1130" t="s">
        <v>64</v>
      </c>
    </row>
    <row r="1131" spans="1:9">
      <c r="A1131" s="49">
        <v>45946</v>
      </c>
      <c r="B1131" s="50">
        <v>0.9328703703703703</v>
      </c>
      <c r="C1131" t="s">
        <v>150</v>
      </c>
      <c r="D1131" t="s">
        <v>40</v>
      </c>
      <c r="E1131" t="s">
        <v>380</v>
      </c>
      <c r="F1131" t="s">
        <v>381</v>
      </c>
      <c r="G1131">
        <v>-3500</v>
      </c>
      <c r="H1131" t="s">
        <v>153</v>
      </c>
      <c r="I1131" t="s">
        <v>164</v>
      </c>
    </row>
    <row r="1132" spans="1:9">
      <c r="A1132" s="49">
        <v>45946</v>
      </c>
      <c r="B1132" s="50">
        <v>0.9328703703703703</v>
      </c>
      <c r="C1132" t="s">
        <v>155</v>
      </c>
      <c r="D1132" t="s">
        <v>158</v>
      </c>
      <c r="E1132" t="s">
        <v>32</v>
      </c>
      <c r="F1132" t="s">
        <v>159</v>
      </c>
      <c r="G1132">
        <v>10000</v>
      </c>
      <c r="H1132" t="s">
        <v>153</v>
      </c>
      <c r="I1132" t="s">
        <v>157</v>
      </c>
    </row>
    <row r="1133" spans="1:9">
      <c r="A1133" s="49">
        <v>45946</v>
      </c>
      <c r="B1133" s="50">
        <v>0.9328703703703703</v>
      </c>
      <c r="C1133" t="s">
        <v>155</v>
      </c>
      <c r="D1133" t="s">
        <v>158</v>
      </c>
      <c r="E1133" t="s">
        <v>32</v>
      </c>
      <c r="F1133" t="s">
        <v>160</v>
      </c>
      <c r="G1133">
        <v>-10000</v>
      </c>
      <c r="H1133" t="s">
        <v>153</v>
      </c>
      <c r="I1133" t="s">
        <v>64</v>
      </c>
    </row>
    <row r="1134" spans="1:9">
      <c r="A1134" s="49">
        <v>45946</v>
      </c>
      <c r="B1134" s="50">
        <v>0.4696064814814815</v>
      </c>
      <c r="C1134" t="s">
        <v>150</v>
      </c>
      <c r="D1134" t="s">
        <v>42</v>
      </c>
      <c r="E1134" t="s">
        <v>374</v>
      </c>
      <c r="F1134" t="s">
        <v>375</v>
      </c>
      <c r="G1134">
        <v>-40000</v>
      </c>
      <c r="H1134" t="s">
        <v>153</v>
      </c>
      <c r="I1134" t="s">
        <v>214</v>
      </c>
    </row>
    <row r="1135" spans="1:9">
      <c r="A1135" s="49">
        <v>45945</v>
      </c>
      <c r="B1135" s="50">
        <v>0.4360069444444444</v>
      </c>
      <c r="C1135" t="s">
        <v>150</v>
      </c>
      <c r="D1135" t="s">
        <v>42</v>
      </c>
      <c r="E1135" t="s">
        <v>374</v>
      </c>
      <c r="F1135" t="s">
        <v>375</v>
      </c>
      <c r="G1135">
        <v>-6000</v>
      </c>
      <c r="H1135" t="s">
        <v>153</v>
      </c>
      <c r="I1135" t="s">
        <v>214</v>
      </c>
    </row>
    <row r="1136" spans="1:9">
      <c r="A1136" s="49">
        <v>45945</v>
      </c>
      <c r="B1136" s="50">
        <v>0.3535995370370371</v>
      </c>
      <c r="C1136" t="s">
        <v>150</v>
      </c>
      <c r="D1136" t="s">
        <v>35</v>
      </c>
      <c r="E1136" t="s">
        <v>169</v>
      </c>
      <c r="F1136" t="s">
        <v>563</v>
      </c>
      <c r="G1136">
        <v>-1920</v>
      </c>
      <c r="H1136" t="s">
        <v>153</v>
      </c>
      <c r="I1136" t="s">
        <v>164</v>
      </c>
    </row>
    <row r="1137" spans="1:9">
      <c r="A1137" s="49">
        <v>45944</v>
      </c>
      <c r="B1137" s="50">
        <v>0.7570601851851851</v>
      </c>
      <c r="C1137" t="s">
        <v>150</v>
      </c>
      <c r="D1137" t="s">
        <v>37</v>
      </c>
      <c r="E1137" t="s">
        <v>457</v>
      </c>
      <c r="F1137" t="s">
        <v>549</v>
      </c>
      <c r="G1137">
        <v>-21000</v>
      </c>
      <c r="H1137" t="s">
        <v>153</v>
      </c>
      <c r="I1137" t="s">
        <v>214</v>
      </c>
    </row>
    <row r="1138" spans="1:9">
      <c r="A1138" s="49">
        <v>45944</v>
      </c>
      <c r="B1138" s="50">
        <v>0.396238425925926</v>
      </c>
      <c r="C1138" t="s">
        <v>150</v>
      </c>
      <c r="D1138" t="s">
        <v>44</v>
      </c>
      <c r="E1138" t="s">
        <v>162</v>
      </c>
      <c r="F1138" t="s">
        <v>163</v>
      </c>
      <c r="G1138">
        <v>-3900</v>
      </c>
      <c r="H1138" t="s">
        <v>153</v>
      </c>
      <c r="I1138" t="s">
        <v>164</v>
      </c>
    </row>
    <row r="1139" spans="1:9">
      <c r="A1139" s="49">
        <v>45944</v>
      </c>
      <c r="B1139" s="50">
        <v>0.3555671296296296</v>
      </c>
      <c r="C1139" t="s">
        <v>150</v>
      </c>
      <c r="D1139" t="s">
        <v>42</v>
      </c>
      <c r="E1139" t="s">
        <v>374</v>
      </c>
      <c r="F1139" t="s">
        <v>375</v>
      </c>
      <c r="G1139">
        <v>-2300</v>
      </c>
      <c r="H1139" t="s">
        <v>153</v>
      </c>
      <c r="I1139" t="s">
        <v>214</v>
      </c>
    </row>
    <row r="1140" spans="1:9">
      <c r="A1140" s="49">
        <v>45943</v>
      </c>
      <c r="B1140" s="50">
        <v>0.9222916666666666</v>
      </c>
      <c r="C1140" t="s">
        <v>150</v>
      </c>
      <c r="D1140" t="s">
        <v>40</v>
      </c>
      <c r="E1140" t="s">
        <v>172</v>
      </c>
      <c r="F1140" t="s">
        <v>379</v>
      </c>
      <c r="G1140">
        <v>-8300</v>
      </c>
      <c r="H1140" t="s">
        <v>153</v>
      </c>
      <c r="I1140" t="s">
        <v>214</v>
      </c>
    </row>
    <row r="1141" spans="1:9">
      <c r="A1141" s="49">
        <v>45943</v>
      </c>
      <c r="B1141" s="50">
        <v>0.7352199074074074</v>
      </c>
      <c r="C1141" t="s">
        <v>150</v>
      </c>
      <c r="D1141" t="s">
        <v>42</v>
      </c>
      <c r="E1141" t="s">
        <v>151</v>
      </c>
      <c r="F1141" t="s">
        <v>152</v>
      </c>
      <c r="G1141">
        <v>-11900</v>
      </c>
      <c r="H1141" t="s">
        <v>153</v>
      </c>
      <c r="I1141" t="s">
        <v>64</v>
      </c>
    </row>
    <row r="1142" spans="1:9">
      <c r="A1142" s="49">
        <v>45943</v>
      </c>
      <c r="B1142" s="50">
        <v>0.4366666666666666</v>
      </c>
      <c r="C1142" t="s">
        <v>150</v>
      </c>
      <c r="D1142" t="s">
        <v>35</v>
      </c>
      <c r="E1142" t="s">
        <v>169</v>
      </c>
      <c r="F1142" t="s">
        <v>563</v>
      </c>
      <c r="G1142">
        <v>-1740</v>
      </c>
      <c r="H1142" t="s">
        <v>153</v>
      </c>
      <c r="I1142" t="s">
        <v>164</v>
      </c>
    </row>
    <row r="1143" spans="1:9">
      <c r="A1143" s="49">
        <v>45943</v>
      </c>
      <c r="B1143" s="50">
        <v>0.4234375</v>
      </c>
      <c r="C1143" t="s">
        <v>150</v>
      </c>
      <c r="D1143" t="s">
        <v>35</v>
      </c>
      <c r="E1143" t="s">
        <v>169</v>
      </c>
      <c r="F1143" t="s">
        <v>563</v>
      </c>
      <c r="G1143">
        <v>-2100</v>
      </c>
      <c r="H1143" t="s">
        <v>153</v>
      </c>
      <c r="I1143" t="s">
        <v>164</v>
      </c>
    </row>
    <row r="1144" spans="1:9">
      <c r="A1144" s="49">
        <v>45943</v>
      </c>
      <c r="B1144" s="50">
        <v>0.4234375</v>
      </c>
      <c r="C1144" t="s">
        <v>155</v>
      </c>
      <c r="D1144" t="s">
        <v>158</v>
      </c>
      <c r="E1144" t="s">
        <v>32</v>
      </c>
      <c r="F1144" t="s">
        <v>159</v>
      </c>
      <c r="G1144">
        <v>10000</v>
      </c>
      <c r="H1144" t="s">
        <v>153</v>
      </c>
      <c r="I1144" t="s">
        <v>157</v>
      </c>
    </row>
    <row r="1145" spans="1:9">
      <c r="A1145" s="49">
        <v>45943</v>
      </c>
      <c r="B1145" s="50">
        <v>0.4234375</v>
      </c>
      <c r="C1145" t="s">
        <v>155</v>
      </c>
      <c r="D1145" t="s">
        <v>158</v>
      </c>
      <c r="E1145" t="s">
        <v>32</v>
      </c>
      <c r="F1145" t="s">
        <v>160</v>
      </c>
      <c r="G1145">
        <v>-10000</v>
      </c>
      <c r="H1145" t="s">
        <v>153</v>
      </c>
      <c r="I1145" t="s">
        <v>64</v>
      </c>
    </row>
    <row r="1146" spans="1:9">
      <c r="A1146" s="49">
        <v>45943</v>
      </c>
      <c r="B1146" s="50">
        <v>0.4060648148148148</v>
      </c>
      <c r="C1146" t="s">
        <v>155</v>
      </c>
      <c r="D1146" t="s">
        <v>155</v>
      </c>
      <c r="E1146" t="s">
        <v>32</v>
      </c>
      <c r="F1146" t="s">
        <v>246</v>
      </c>
      <c r="G1146">
        <v>-9810</v>
      </c>
      <c r="H1146" t="s">
        <v>153</v>
      </c>
      <c r="I1146" t="s">
        <v>64</v>
      </c>
    </row>
    <row r="1147" spans="1:9">
      <c r="A1147" s="49">
        <v>45943</v>
      </c>
      <c r="B1147" s="50">
        <v>0.3959490740740741</v>
      </c>
      <c r="C1147" t="s">
        <v>150</v>
      </c>
      <c r="D1147" t="s">
        <v>42</v>
      </c>
      <c r="E1147" t="s">
        <v>374</v>
      </c>
      <c r="F1147" t="s">
        <v>375</v>
      </c>
      <c r="G1147">
        <v>-2600</v>
      </c>
      <c r="H1147" t="s">
        <v>153</v>
      </c>
      <c r="I1147" t="s">
        <v>214</v>
      </c>
    </row>
    <row r="1148" spans="1:9">
      <c r="A1148" s="49">
        <v>45942</v>
      </c>
      <c r="B1148" s="50">
        <v>0.8727083333333333</v>
      </c>
      <c r="C1148" t="s">
        <v>150</v>
      </c>
      <c r="D1148" t="s">
        <v>44</v>
      </c>
      <c r="E1148" t="s">
        <v>225</v>
      </c>
      <c r="F1148" t="s">
        <v>228</v>
      </c>
      <c r="G1148">
        <v>-15478</v>
      </c>
      <c r="H1148" t="s">
        <v>153</v>
      </c>
      <c r="I1148" t="s">
        <v>214</v>
      </c>
    </row>
    <row r="1149" spans="1:9">
      <c r="A1149" s="49">
        <v>45942</v>
      </c>
      <c r="B1149" s="50">
        <v>0.5810763888888889</v>
      </c>
      <c r="C1149" t="s">
        <v>150</v>
      </c>
      <c r="D1149" t="s">
        <v>42</v>
      </c>
      <c r="E1149" t="s">
        <v>177</v>
      </c>
      <c r="F1149" t="s">
        <v>596</v>
      </c>
      <c r="G1149">
        <v>-35000</v>
      </c>
      <c r="H1149" t="s">
        <v>153</v>
      </c>
      <c r="I1149" t="s">
        <v>214</v>
      </c>
    </row>
    <row r="1150" spans="1:9">
      <c r="A1150" s="49">
        <v>45942</v>
      </c>
      <c r="B1150" s="50">
        <v>0.5622569444444444</v>
      </c>
      <c r="C1150" t="s">
        <v>155</v>
      </c>
      <c r="D1150" t="s">
        <v>155</v>
      </c>
      <c r="E1150" t="s">
        <v>32</v>
      </c>
      <c r="F1150" t="s">
        <v>246</v>
      </c>
      <c r="G1150">
        <v>11990</v>
      </c>
      <c r="H1150" t="s">
        <v>153</v>
      </c>
      <c r="I1150" t="s">
        <v>64</v>
      </c>
    </row>
    <row r="1151" spans="1:9">
      <c r="A1151" s="49">
        <v>45942</v>
      </c>
      <c r="B1151" s="50">
        <v>0.517962962962963</v>
      </c>
      <c r="C1151" t="s">
        <v>150</v>
      </c>
      <c r="D1151" t="s">
        <v>44</v>
      </c>
      <c r="E1151" t="s">
        <v>260</v>
      </c>
      <c r="F1151" t="s">
        <v>261</v>
      </c>
      <c r="G1151">
        <v>-80000</v>
      </c>
      <c r="H1151" t="s">
        <v>153</v>
      </c>
      <c r="I1151" t="s">
        <v>64</v>
      </c>
    </row>
    <row r="1152" spans="1:9">
      <c r="A1152" s="49">
        <v>45942</v>
      </c>
      <c r="B1152" s="50">
        <v>0.4771527777777778</v>
      </c>
      <c r="C1152" t="s">
        <v>155</v>
      </c>
      <c r="D1152" t="s">
        <v>155</v>
      </c>
      <c r="E1152" t="s">
        <v>32</v>
      </c>
      <c r="F1152" t="s">
        <v>652</v>
      </c>
      <c r="G1152">
        <v>499000</v>
      </c>
      <c r="H1152" t="s">
        <v>153</v>
      </c>
      <c r="I1152" t="s">
        <v>64</v>
      </c>
    </row>
    <row r="1153" spans="1:9">
      <c r="A1153" s="49">
        <v>45942</v>
      </c>
      <c r="B1153" s="50">
        <v>0.3752430555555555</v>
      </c>
      <c r="C1153" t="s">
        <v>150</v>
      </c>
      <c r="D1153" t="s">
        <v>34</v>
      </c>
      <c r="E1153" t="s">
        <v>322</v>
      </c>
      <c r="F1153" t="s">
        <v>323</v>
      </c>
      <c r="G1153">
        <v>-109890</v>
      </c>
      <c r="H1153" t="s">
        <v>153</v>
      </c>
      <c r="I1153" t="s">
        <v>214</v>
      </c>
    </row>
    <row r="1154" spans="1:9">
      <c r="A1154" s="49">
        <v>45941</v>
      </c>
      <c r="B1154" s="50">
        <v>0.7982291666666667</v>
      </c>
      <c r="C1154" t="s">
        <v>150</v>
      </c>
      <c r="D1154" t="s">
        <v>48</v>
      </c>
      <c r="E1154" t="s">
        <v>185</v>
      </c>
      <c r="F1154" t="s">
        <v>536</v>
      </c>
      <c r="G1154">
        <v>-10600</v>
      </c>
      <c r="H1154" t="s">
        <v>153</v>
      </c>
      <c r="I1154" t="s">
        <v>214</v>
      </c>
    </row>
    <row r="1155" spans="1:9">
      <c r="A1155" s="49">
        <v>45941</v>
      </c>
      <c r="B1155" s="50">
        <v>0.5107986111111111</v>
      </c>
      <c r="C1155" t="s">
        <v>155</v>
      </c>
      <c r="D1155" t="s">
        <v>155</v>
      </c>
      <c r="E1155" t="s">
        <v>32</v>
      </c>
      <c r="F1155" t="s">
        <v>653</v>
      </c>
      <c r="G1155">
        <v>390000</v>
      </c>
      <c r="H1155" t="s">
        <v>153</v>
      </c>
      <c r="I1155" t="s">
        <v>64</v>
      </c>
    </row>
    <row r="1156" spans="1:9">
      <c r="A1156" s="49">
        <v>45941</v>
      </c>
      <c r="B1156" s="50">
        <v>0.3373032407407408</v>
      </c>
      <c r="C1156" t="s">
        <v>150</v>
      </c>
      <c r="D1156" t="s">
        <v>40</v>
      </c>
      <c r="E1156" t="s">
        <v>172</v>
      </c>
      <c r="F1156" t="s">
        <v>379</v>
      </c>
      <c r="G1156">
        <v>-3700</v>
      </c>
      <c r="H1156" t="s">
        <v>153</v>
      </c>
      <c r="I1156" t="s">
        <v>214</v>
      </c>
    </row>
    <row r="1157" spans="1:9">
      <c r="A1157" s="49">
        <v>45940</v>
      </c>
      <c r="B1157" s="50">
        <v>0.7759606481481481</v>
      </c>
      <c r="C1157" t="s">
        <v>155</v>
      </c>
      <c r="D1157" t="s">
        <v>70</v>
      </c>
      <c r="E1157" t="s">
        <v>32</v>
      </c>
      <c r="F1157" t="s">
        <v>238</v>
      </c>
      <c r="G1157">
        <v>-6000</v>
      </c>
      <c r="H1157" t="s">
        <v>153</v>
      </c>
      <c r="I1157" t="s">
        <v>64</v>
      </c>
    </row>
    <row r="1158" spans="1:9">
      <c r="A1158" s="49">
        <v>45940</v>
      </c>
      <c r="B1158" s="50">
        <v>0.6757638888888889</v>
      </c>
      <c r="C1158" t="s">
        <v>155</v>
      </c>
      <c r="D1158" t="s">
        <v>155</v>
      </c>
      <c r="E1158" t="s">
        <v>32</v>
      </c>
      <c r="F1158" t="s">
        <v>246</v>
      </c>
      <c r="G1158">
        <v>-17290</v>
      </c>
      <c r="H1158" t="s">
        <v>153</v>
      </c>
      <c r="I1158" t="s">
        <v>64</v>
      </c>
    </row>
    <row r="1159" spans="1:9">
      <c r="A1159" s="49">
        <v>45940</v>
      </c>
      <c r="B1159" s="50">
        <v>0.5351273148148148</v>
      </c>
      <c r="C1159" t="s">
        <v>155</v>
      </c>
      <c r="D1159" t="s">
        <v>155</v>
      </c>
      <c r="E1159" t="s">
        <v>32</v>
      </c>
      <c r="F1159" t="s">
        <v>235</v>
      </c>
      <c r="G1159">
        <v>1599000</v>
      </c>
      <c r="H1159" t="s">
        <v>153</v>
      </c>
      <c r="I1159" t="s">
        <v>64</v>
      </c>
    </row>
    <row r="1160" spans="1:9">
      <c r="A1160" s="49">
        <v>45940</v>
      </c>
      <c r="B1160" s="50">
        <v>0.5346759259259259</v>
      </c>
      <c r="C1160" t="s">
        <v>167</v>
      </c>
      <c r="D1160" t="s">
        <v>28</v>
      </c>
      <c r="E1160" t="s">
        <v>32</v>
      </c>
      <c r="F1160" t="s">
        <v>243</v>
      </c>
      <c r="G1160">
        <v>4584</v>
      </c>
      <c r="H1160" t="s">
        <v>153</v>
      </c>
      <c r="I1160" t="s">
        <v>64</v>
      </c>
    </row>
    <row r="1161" spans="1:9">
      <c r="A1161" s="49">
        <v>45940</v>
      </c>
      <c r="B1161" s="50">
        <v>0.3824074074074074</v>
      </c>
      <c r="C1161" t="s">
        <v>150</v>
      </c>
      <c r="D1161" t="s">
        <v>44</v>
      </c>
      <c r="E1161" t="s">
        <v>260</v>
      </c>
      <c r="F1161" t="s">
        <v>261</v>
      </c>
      <c r="G1161">
        <v>-20000</v>
      </c>
      <c r="H1161" t="s">
        <v>153</v>
      </c>
      <c r="I1161" t="s">
        <v>64</v>
      </c>
    </row>
    <row r="1162" spans="1:9">
      <c r="A1162" s="49">
        <v>45940</v>
      </c>
      <c r="B1162" s="50">
        <v>0.3820486111111111</v>
      </c>
      <c r="C1162" t="s">
        <v>150</v>
      </c>
      <c r="D1162" t="s">
        <v>44</v>
      </c>
      <c r="E1162" t="s">
        <v>260</v>
      </c>
      <c r="F1162" t="s">
        <v>261</v>
      </c>
      <c r="G1162">
        <v>-20000</v>
      </c>
      <c r="H1162" t="s">
        <v>153</v>
      </c>
      <c r="I1162" t="s">
        <v>64</v>
      </c>
    </row>
    <row r="1163" spans="1:9">
      <c r="A1163" s="49">
        <v>45940</v>
      </c>
      <c r="B1163" s="50">
        <v>0.3672222222222222</v>
      </c>
      <c r="C1163" t="s">
        <v>150</v>
      </c>
      <c r="D1163" t="s">
        <v>42</v>
      </c>
      <c r="E1163" t="s">
        <v>374</v>
      </c>
      <c r="F1163" t="s">
        <v>375</v>
      </c>
      <c r="G1163">
        <v>-4600</v>
      </c>
      <c r="H1163" t="s">
        <v>153</v>
      </c>
      <c r="I1163" t="s">
        <v>214</v>
      </c>
    </row>
    <row r="1164" spans="1:9">
      <c r="A1164" s="49">
        <v>45939</v>
      </c>
      <c r="B1164" s="50">
        <v>0.8268402777777778</v>
      </c>
      <c r="C1164" t="s">
        <v>150</v>
      </c>
      <c r="D1164" t="s">
        <v>44</v>
      </c>
      <c r="E1164" t="s">
        <v>260</v>
      </c>
      <c r="F1164" t="s">
        <v>261</v>
      </c>
      <c r="G1164">
        <v>-40000</v>
      </c>
      <c r="H1164" t="s">
        <v>153</v>
      </c>
      <c r="I1164" t="s">
        <v>64</v>
      </c>
    </row>
    <row r="1165" spans="1:9">
      <c r="A1165" s="49">
        <v>45939</v>
      </c>
      <c r="B1165" s="50">
        <v>0.792511574074074</v>
      </c>
      <c r="C1165" t="s">
        <v>167</v>
      </c>
      <c r="D1165" t="s">
        <v>28</v>
      </c>
      <c r="E1165" t="s">
        <v>32</v>
      </c>
      <c r="F1165" t="s">
        <v>535</v>
      </c>
      <c r="G1165">
        <v>300001</v>
      </c>
      <c r="H1165" t="s">
        <v>153</v>
      </c>
      <c r="I1165" t="s">
        <v>64</v>
      </c>
    </row>
    <row r="1166" spans="1:9">
      <c r="A1166" s="49">
        <v>45939</v>
      </c>
      <c r="B1166" s="50">
        <v>0.7258101851851851</v>
      </c>
      <c r="C1166" t="s">
        <v>150</v>
      </c>
      <c r="D1166" t="s">
        <v>49</v>
      </c>
      <c r="E1166" t="s">
        <v>304</v>
      </c>
      <c r="F1166" t="s">
        <v>654</v>
      </c>
      <c r="G1166">
        <v>-25270</v>
      </c>
      <c r="H1166" t="s">
        <v>153</v>
      </c>
      <c r="I1166" t="s">
        <v>164</v>
      </c>
    </row>
    <row r="1167" spans="1:9">
      <c r="A1167" s="49">
        <v>45939</v>
      </c>
      <c r="B1167" s="50">
        <v>0.7258101851851851</v>
      </c>
      <c r="C1167" t="s">
        <v>150</v>
      </c>
      <c r="D1167" t="s">
        <v>49</v>
      </c>
      <c r="E1167" t="s">
        <v>304</v>
      </c>
      <c r="F1167" t="s">
        <v>654</v>
      </c>
      <c r="G1167">
        <v>-25270</v>
      </c>
      <c r="H1167" t="s">
        <v>153</v>
      </c>
      <c r="I1167" t="s">
        <v>157</v>
      </c>
    </row>
    <row r="1168" spans="1:9">
      <c r="A1168" s="49">
        <v>45939</v>
      </c>
      <c r="B1168" s="50">
        <v>0.7254513888888889</v>
      </c>
      <c r="C1168" t="s">
        <v>167</v>
      </c>
      <c r="D1168" t="s">
        <v>28</v>
      </c>
      <c r="E1168" t="s">
        <v>32</v>
      </c>
      <c r="F1168" t="s">
        <v>655</v>
      </c>
      <c r="G1168">
        <v>1</v>
      </c>
      <c r="H1168" t="s">
        <v>153</v>
      </c>
      <c r="I1168" t="s">
        <v>64</v>
      </c>
    </row>
    <row r="1169" spans="1:9">
      <c r="A1169" s="49">
        <v>45939</v>
      </c>
      <c r="B1169" s="50">
        <v>0.06275462962962963</v>
      </c>
      <c r="C1169" t="s">
        <v>155</v>
      </c>
      <c r="D1169" t="s">
        <v>158</v>
      </c>
      <c r="E1169" t="s">
        <v>32</v>
      </c>
      <c r="F1169" t="s">
        <v>159</v>
      </c>
      <c r="G1169">
        <v>-101572</v>
      </c>
      <c r="H1169" t="s">
        <v>153</v>
      </c>
      <c r="I1169" t="s">
        <v>157</v>
      </c>
    </row>
    <row r="1170" spans="1:9">
      <c r="A1170" s="49">
        <v>45939</v>
      </c>
      <c r="B1170" s="50">
        <v>0.06275462962962963</v>
      </c>
      <c r="C1170" t="s">
        <v>155</v>
      </c>
      <c r="D1170" t="s">
        <v>158</v>
      </c>
      <c r="E1170" t="s">
        <v>32</v>
      </c>
      <c r="F1170" t="s">
        <v>7</v>
      </c>
      <c r="G1170">
        <v>101572</v>
      </c>
      <c r="H1170" t="s">
        <v>153</v>
      </c>
      <c r="I1170" t="s">
        <v>64</v>
      </c>
    </row>
    <row r="1171" spans="1:9">
      <c r="A1171" s="49">
        <v>45938</v>
      </c>
      <c r="B1171" s="50">
        <v>0.8655208333333333</v>
      </c>
      <c r="C1171" t="s">
        <v>150</v>
      </c>
      <c r="D1171" t="s">
        <v>40</v>
      </c>
      <c r="E1171" t="s">
        <v>172</v>
      </c>
      <c r="F1171" t="s">
        <v>656</v>
      </c>
      <c r="G1171">
        <v>-1000</v>
      </c>
      <c r="H1171" t="s">
        <v>153</v>
      </c>
      <c r="I1171" t="s">
        <v>214</v>
      </c>
    </row>
    <row r="1172" spans="1:9">
      <c r="A1172" s="49">
        <v>45938</v>
      </c>
      <c r="B1172" s="50">
        <v>0.7137731481481482</v>
      </c>
      <c r="C1172" t="s">
        <v>155</v>
      </c>
      <c r="D1172" t="s">
        <v>155</v>
      </c>
      <c r="E1172" t="s">
        <v>32</v>
      </c>
      <c r="F1172" t="s">
        <v>657</v>
      </c>
      <c r="G1172">
        <v>100000</v>
      </c>
      <c r="H1172" t="s">
        <v>153</v>
      </c>
      <c r="I1172" t="s">
        <v>157</v>
      </c>
    </row>
    <row r="1173" spans="1:9">
      <c r="A1173" s="49">
        <v>45938</v>
      </c>
      <c r="B1173" s="50">
        <v>0.7132638888888889</v>
      </c>
      <c r="C1173" t="s">
        <v>167</v>
      </c>
      <c r="D1173" t="s">
        <v>28</v>
      </c>
      <c r="E1173" t="s">
        <v>32</v>
      </c>
      <c r="F1173" t="s">
        <v>658</v>
      </c>
      <c r="G1173">
        <v>1</v>
      </c>
      <c r="H1173" t="s">
        <v>153</v>
      </c>
      <c r="I1173" t="s">
        <v>64</v>
      </c>
    </row>
    <row r="1174" spans="1:9">
      <c r="A1174" s="49">
        <v>45938</v>
      </c>
      <c r="B1174" s="50">
        <v>0.7112731481481481</v>
      </c>
      <c r="C1174" t="s">
        <v>167</v>
      </c>
      <c r="D1174" t="s">
        <v>28</v>
      </c>
      <c r="E1174" t="s">
        <v>32</v>
      </c>
      <c r="F1174" t="s">
        <v>659</v>
      </c>
      <c r="G1174">
        <v>1</v>
      </c>
      <c r="H1174" t="s">
        <v>153</v>
      </c>
      <c r="I1174" t="s">
        <v>64</v>
      </c>
    </row>
    <row r="1175" spans="1:9">
      <c r="A1175" s="49">
        <v>45938</v>
      </c>
      <c r="B1175" s="50">
        <v>0.5792013888888888</v>
      </c>
      <c r="C1175" t="s">
        <v>155</v>
      </c>
      <c r="D1175" t="s">
        <v>155</v>
      </c>
      <c r="E1175" t="s">
        <v>32</v>
      </c>
      <c r="F1175" t="s">
        <v>246</v>
      </c>
      <c r="G1175">
        <v>-9930</v>
      </c>
      <c r="H1175" t="s">
        <v>153</v>
      </c>
      <c r="I1175" t="s">
        <v>64</v>
      </c>
    </row>
    <row r="1176" spans="1:9">
      <c r="A1176" s="49">
        <v>45938</v>
      </c>
      <c r="B1176" s="50">
        <v>0.5608449074074074</v>
      </c>
      <c r="C1176" t="s">
        <v>150</v>
      </c>
      <c r="D1176" t="s">
        <v>48</v>
      </c>
      <c r="E1176" t="s">
        <v>185</v>
      </c>
      <c r="F1176" t="s">
        <v>186</v>
      </c>
      <c r="G1176">
        <v>-6500</v>
      </c>
      <c r="H1176" t="s">
        <v>153</v>
      </c>
      <c r="I1176" t="s">
        <v>214</v>
      </c>
    </row>
    <row r="1177" spans="1:9">
      <c r="A1177" s="49">
        <v>45938</v>
      </c>
      <c r="B1177" s="50">
        <v>0.3923726851851852</v>
      </c>
      <c r="C1177" t="s">
        <v>150</v>
      </c>
      <c r="D1177" t="s">
        <v>48</v>
      </c>
      <c r="E1177" t="s">
        <v>185</v>
      </c>
      <c r="F1177" t="s">
        <v>186</v>
      </c>
      <c r="G1177">
        <v>-6000</v>
      </c>
      <c r="H1177" t="s">
        <v>153</v>
      </c>
      <c r="I1177" t="s">
        <v>214</v>
      </c>
    </row>
    <row r="1178" spans="1:9">
      <c r="A1178" s="49">
        <v>45938</v>
      </c>
      <c r="B1178" s="50">
        <v>0.3829629629629629</v>
      </c>
      <c r="C1178" t="s">
        <v>150</v>
      </c>
      <c r="D1178" t="s">
        <v>35</v>
      </c>
      <c r="E1178" t="s">
        <v>169</v>
      </c>
      <c r="F1178" t="s">
        <v>187</v>
      </c>
      <c r="G1178">
        <v>170</v>
      </c>
      <c r="H1178" t="s">
        <v>153</v>
      </c>
      <c r="I1178" t="s">
        <v>171</v>
      </c>
    </row>
    <row r="1179" spans="1:9">
      <c r="A1179" s="49">
        <v>45937</v>
      </c>
      <c r="B1179" s="50">
        <v>0.8079976851851852</v>
      </c>
      <c r="C1179" t="s">
        <v>150</v>
      </c>
      <c r="D1179" t="s">
        <v>40</v>
      </c>
      <c r="E1179" t="s">
        <v>251</v>
      </c>
      <c r="F1179" t="s">
        <v>660</v>
      </c>
      <c r="G1179">
        <v>-120000</v>
      </c>
      <c r="H1179" t="s">
        <v>153</v>
      </c>
      <c r="I1179" t="s">
        <v>214</v>
      </c>
    </row>
    <row r="1180" spans="1:9">
      <c r="A1180" s="49">
        <v>45937</v>
      </c>
      <c r="B1180" s="50">
        <v>0.7995138888888889</v>
      </c>
      <c r="C1180" t="s">
        <v>150</v>
      </c>
      <c r="D1180" t="s">
        <v>44</v>
      </c>
      <c r="E1180" t="s">
        <v>225</v>
      </c>
      <c r="F1180" t="s">
        <v>642</v>
      </c>
      <c r="G1180">
        <v>-13904</v>
      </c>
      <c r="H1180" t="s">
        <v>153</v>
      </c>
      <c r="I1180" t="s">
        <v>214</v>
      </c>
    </row>
    <row r="1181" spans="1:9">
      <c r="A1181" s="49">
        <v>45937</v>
      </c>
      <c r="B1181" s="50">
        <v>0.6254282407407408</v>
      </c>
      <c r="C1181" t="s">
        <v>150</v>
      </c>
      <c r="D1181" t="s">
        <v>48</v>
      </c>
      <c r="E1181" t="s">
        <v>185</v>
      </c>
      <c r="F1181" t="s">
        <v>362</v>
      </c>
      <c r="G1181">
        <v>-3500</v>
      </c>
      <c r="H1181" t="s">
        <v>153</v>
      </c>
      <c r="I1181" t="s">
        <v>214</v>
      </c>
    </row>
    <row r="1182" spans="1:9">
      <c r="A1182" s="49">
        <v>45936</v>
      </c>
      <c r="B1182" s="50">
        <v>0.7112268518518519</v>
      </c>
      <c r="C1182" t="s">
        <v>150</v>
      </c>
      <c r="D1182" t="s">
        <v>40</v>
      </c>
      <c r="E1182" t="s">
        <v>172</v>
      </c>
      <c r="F1182" t="s">
        <v>656</v>
      </c>
      <c r="G1182">
        <v>0</v>
      </c>
      <c r="H1182" t="s">
        <v>153</v>
      </c>
      <c r="I1182" t="s">
        <v>164</v>
      </c>
    </row>
    <row r="1183" spans="1:9">
      <c r="A1183" s="49">
        <v>45936</v>
      </c>
      <c r="B1183" s="50">
        <v>0.4927893518518519</v>
      </c>
      <c r="C1183" t="s">
        <v>150</v>
      </c>
      <c r="D1183" t="s">
        <v>44</v>
      </c>
      <c r="E1183" t="s">
        <v>315</v>
      </c>
      <c r="F1183" t="s">
        <v>316</v>
      </c>
      <c r="G1183">
        <v>-2500</v>
      </c>
      <c r="H1183" t="s">
        <v>153</v>
      </c>
      <c r="I1183" t="s">
        <v>164</v>
      </c>
    </row>
    <row r="1184" spans="1:9">
      <c r="A1184" s="49">
        <v>45936</v>
      </c>
      <c r="B1184" s="50">
        <v>0.4754166666666667</v>
      </c>
      <c r="C1184" t="s">
        <v>150</v>
      </c>
      <c r="D1184" t="s">
        <v>48</v>
      </c>
      <c r="E1184" t="s">
        <v>185</v>
      </c>
      <c r="F1184" t="s">
        <v>186</v>
      </c>
      <c r="G1184">
        <v>-6000</v>
      </c>
      <c r="H1184" t="s">
        <v>153</v>
      </c>
      <c r="I1184" t="s">
        <v>214</v>
      </c>
    </row>
    <row r="1185" spans="1:9">
      <c r="A1185" s="49">
        <v>45936</v>
      </c>
      <c r="B1185" s="50">
        <v>0.4456828703703704</v>
      </c>
      <c r="C1185" t="s">
        <v>155</v>
      </c>
      <c r="D1185" t="s">
        <v>155</v>
      </c>
      <c r="E1185" t="s">
        <v>32</v>
      </c>
      <c r="F1185" t="s">
        <v>246</v>
      </c>
      <c r="G1185">
        <v>-23980</v>
      </c>
      <c r="H1185" t="s">
        <v>153</v>
      </c>
      <c r="I1185" t="s">
        <v>64</v>
      </c>
    </row>
    <row r="1186" spans="1:9">
      <c r="A1186" s="49">
        <v>45935</v>
      </c>
      <c r="B1186" s="50">
        <v>0.3951851851851852</v>
      </c>
      <c r="C1186" t="s">
        <v>150</v>
      </c>
      <c r="D1186" t="s">
        <v>44</v>
      </c>
      <c r="E1186" t="s">
        <v>162</v>
      </c>
      <c r="F1186" t="s">
        <v>163</v>
      </c>
      <c r="G1186">
        <v>-1900</v>
      </c>
      <c r="H1186" t="s">
        <v>153</v>
      </c>
      <c r="I1186" t="s">
        <v>164</v>
      </c>
    </row>
    <row r="1187" spans="1:9">
      <c r="A1187" s="49">
        <v>45935</v>
      </c>
      <c r="B1187" s="50">
        <v>0.3000347222222222</v>
      </c>
      <c r="C1187" t="s">
        <v>150</v>
      </c>
      <c r="D1187" t="s">
        <v>42</v>
      </c>
      <c r="E1187" t="s">
        <v>177</v>
      </c>
      <c r="F1187" t="s">
        <v>661</v>
      </c>
      <c r="G1187">
        <v>-3500</v>
      </c>
      <c r="H1187" t="s">
        <v>153</v>
      </c>
      <c r="I1187" t="s">
        <v>214</v>
      </c>
    </row>
    <row r="1188" spans="1:9">
      <c r="A1188" s="49">
        <v>45935</v>
      </c>
      <c r="B1188" s="50">
        <v>0.2525694444444445</v>
      </c>
      <c r="C1188" t="s">
        <v>150</v>
      </c>
      <c r="D1188" t="s">
        <v>35</v>
      </c>
      <c r="E1188" t="s">
        <v>169</v>
      </c>
      <c r="F1188" t="s">
        <v>662</v>
      </c>
      <c r="G1188">
        <v>-6000</v>
      </c>
      <c r="H1188" t="s">
        <v>153</v>
      </c>
      <c r="I1188" t="s">
        <v>214</v>
      </c>
    </row>
    <row r="1189" spans="1:9">
      <c r="A1189" s="49">
        <v>45934</v>
      </c>
      <c r="B1189" s="50">
        <v>0.8965277777777778</v>
      </c>
      <c r="C1189" t="s">
        <v>167</v>
      </c>
      <c r="D1189" t="s">
        <v>31</v>
      </c>
      <c r="E1189" t="s">
        <v>32</v>
      </c>
      <c r="F1189" t="s">
        <v>168</v>
      </c>
      <c r="G1189">
        <v>3000</v>
      </c>
      <c r="H1189" t="s">
        <v>153</v>
      </c>
      <c r="I1189" t="s">
        <v>64</v>
      </c>
    </row>
    <row r="1190" spans="1:9">
      <c r="A1190" s="49">
        <v>45934</v>
      </c>
      <c r="B1190" s="50">
        <v>0.8964814814814814</v>
      </c>
      <c r="C1190" t="s">
        <v>150</v>
      </c>
      <c r="D1190" t="s">
        <v>35</v>
      </c>
      <c r="E1190" t="s">
        <v>169</v>
      </c>
      <c r="F1190" t="s">
        <v>170</v>
      </c>
      <c r="G1190">
        <v>-1620</v>
      </c>
      <c r="H1190" t="s">
        <v>153</v>
      </c>
      <c r="I1190" t="s">
        <v>171</v>
      </c>
    </row>
    <row r="1191" spans="1:9">
      <c r="A1191" s="49">
        <v>45934</v>
      </c>
      <c r="B1191" s="50">
        <v>0.8927893518518518</v>
      </c>
      <c r="C1191" t="s">
        <v>150</v>
      </c>
      <c r="D1191" t="s">
        <v>35</v>
      </c>
      <c r="E1191" t="s">
        <v>169</v>
      </c>
      <c r="F1191" t="s">
        <v>170</v>
      </c>
      <c r="G1191">
        <v>3000</v>
      </c>
      <c r="H1191" t="s">
        <v>153</v>
      </c>
      <c r="I1191" t="s">
        <v>171</v>
      </c>
    </row>
    <row r="1192" spans="1:9">
      <c r="A1192" s="49">
        <v>45934</v>
      </c>
      <c r="B1192" s="50">
        <v>0.8927893518518518</v>
      </c>
      <c r="C1192" t="s">
        <v>150</v>
      </c>
      <c r="D1192" t="s">
        <v>40</v>
      </c>
      <c r="E1192" t="s">
        <v>172</v>
      </c>
      <c r="F1192" t="s">
        <v>173</v>
      </c>
      <c r="G1192">
        <v>-3000</v>
      </c>
      <c r="H1192" t="s">
        <v>153</v>
      </c>
      <c r="I1192" t="s">
        <v>64</v>
      </c>
    </row>
    <row r="1193" spans="1:9">
      <c r="A1193" s="49">
        <v>45934</v>
      </c>
      <c r="B1193" s="50">
        <v>0.8316550925925926</v>
      </c>
      <c r="C1193" t="s">
        <v>150</v>
      </c>
      <c r="D1193" t="s">
        <v>35</v>
      </c>
      <c r="E1193" t="s">
        <v>174</v>
      </c>
      <c r="F1193" t="s">
        <v>314</v>
      </c>
      <c r="G1193">
        <v>-10000</v>
      </c>
      <c r="H1193" t="s">
        <v>153</v>
      </c>
      <c r="I1193" t="s">
        <v>64</v>
      </c>
    </row>
    <row r="1194" spans="1:9">
      <c r="A1194" s="49">
        <v>45934</v>
      </c>
      <c r="B1194" s="50">
        <v>0.6387037037037037</v>
      </c>
      <c r="C1194" t="s">
        <v>150</v>
      </c>
      <c r="D1194" t="s">
        <v>48</v>
      </c>
      <c r="E1194" t="s">
        <v>185</v>
      </c>
      <c r="F1194" t="s">
        <v>663</v>
      </c>
      <c r="G1194">
        <v>-5000</v>
      </c>
      <c r="H1194" t="s">
        <v>153</v>
      </c>
      <c r="I1194" t="s">
        <v>214</v>
      </c>
    </row>
    <row r="1195" spans="1:9">
      <c r="A1195" s="49">
        <v>45934</v>
      </c>
      <c r="B1195" s="50">
        <v>0.6169791666666666</v>
      </c>
      <c r="C1195" t="s">
        <v>150</v>
      </c>
      <c r="D1195" t="s">
        <v>48</v>
      </c>
      <c r="E1195" t="s">
        <v>185</v>
      </c>
      <c r="F1195" t="s">
        <v>663</v>
      </c>
      <c r="G1195">
        <v>-500</v>
      </c>
      <c r="H1195" t="s">
        <v>153</v>
      </c>
      <c r="I1195" t="s">
        <v>214</v>
      </c>
    </row>
    <row r="1196" spans="1:9">
      <c r="A1196" s="49">
        <v>45934</v>
      </c>
      <c r="B1196" s="50">
        <v>0.6162268518518519</v>
      </c>
      <c r="C1196" t="s">
        <v>150</v>
      </c>
      <c r="D1196" t="s">
        <v>48</v>
      </c>
      <c r="E1196" t="s">
        <v>185</v>
      </c>
      <c r="F1196" t="s">
        <v>663</v>
      </c>
      <c r="G1196">
        <v>-14000</v>
      </c>
      <c r="H1196" t="s">
        <v>153</v>
      </c>
      <c r="I1196" t="s">
        <v>214</v>
      </c>
    </row>
    <row r="1197" spans="1:9">
      <c r="A1197" s="49">
        <v>45934</v>
      </c>
      <c r="B1197" s="50">
        <v>0.4557175925925926</v>
      </c>
      <c r="C1197" t="s">
        <v>150</v>
      </c>
      <c r="D1197" t="s">
        <v>44</v>
      </c>
      <c r="E1197" t="s">
        <v>225</v>
      </c>
      <c r="F1197" t="s">
        <v>372</v>
      </c>
      <c r="G1197">
        <v>-7890</v>
      </c>
      <c r="H1197" t="s">
        <v>153</v>
      </c>
      <c r="I1197" t="s">
        <v>64</v>
      </c>
    </row>
    <row r="1198" spans="1:9">
      <c r="A1198" s="49">
        <v>45933</v>
      </c>
      <c r="B1198" s="50">
        <v>0.9812615740740741</v>
      </c>
      <c r="C1198" t="s">
        <v>150</v>
      </c>
      <c r="D1198" t="s">
        <v>46</v>
      </c>
      <c r="E1198" t="s">
        <v>664</v>
      </c>
      <c r="F1198" t="s">
        <v>665</v>
      </c>
      <c r="G1198">
        <v>-1200</v>
      </c>
      <c r="H1198" t="s">
        <v>153</v>
      </c>
      <c r="I1198" t="s">
        <v>164</v>
      </c>
    </row>
    <row r="1199" spans="1:9">
      <c r="A1199" s="49">
        <v>45933</v>
      </c>
      <c r="B1199" s="50">
        <v>0.9146064814814815</v>
      </c>
      <c r="C1199" t="s">
        <v>150</v>
      </c>
      <c r="D1199" t="s">
        <v>40</v>
      </c>
      <c r="E1199" t="s">
        <v>172</v>
      </c>
      <c r="F1199" t="s">
        <v>666</v>
      </c>
      <c r="G1199">
        <v>-5700</v>
      </c>
      <c r="H1199" t="s">
        <v>153</v>
      </c>
      <c r="I1199" t="s">
        <v>164</v>
      </c>
    </row>
    <row r="1200" spans="1:9">
      <c r="A1200" s="49">
        <v>45933</v>
      </c>
      <c r="B1200" s="50">
        <v>0.9146064814814815</v>
      </c>
      <c r="C1200" t="s">
        <v>155</v>
      </c>
      <c r="D1200" t="s">
        <v>158</v>
      </c>
      <c r="E1200" t="s">
        <v>32</v>
      </c>
      <c r="F1200" t="s">
        <v>159</v>
      </c>
      <c r="G1200">
        <v>10000</v>
      </c>
      <c r="H1200" t="s">
        <v>153</v>
      </c>
      <c r="I1200" t="s">
        <v>157</v>
      </c>
    </row>
    <row r="1201" spans="1:9">
      <c r="A1201" s="49">
        <v>45933</v>
      </c>
      <c r="B1201" s="50">
        <v>0.9146064814814815</v>
      </c>
      <c r="C1201" t="s">
        <v>155</v>
      </c>
      <c r="D1201" t="s">
        <v>158</v>
      </c>
      <c r="E1201" t="s">
        <v>32</v>
      </c>
      <c r="F1201" t="s">
        <v>160</v>
      </c>
      <c r="G1201">
        <v>-10000</v>
      </c>
      <c r="H1201" t="s">
        <v>153</v>
      </c>
      <c r="I1201" t="s">
        <v>64</v>
      </c>
    </row>
    <row r="1202" spans="1:9">
      <c r="A1202" s="49">
        <v>45933</v>
      </c>
      <c r="B1202" s="50">
        <v>0.8771527777777778</v>
      </c>
      <c r="C1202" t="s">
        <v>150</v>
      </c>
      <c r="D1202" t="s">
        <v>46</v>
      </c>
      <c r="E1202" t="s">
        <v>664</v>
      </c>
      <c r="F1202" t="s">
        <v>665</v>
      </c>
      <c r="G1202">
        <v>-2000</v>
      </c>
      <c r="H1202" t="s">
        <v>153</v>
      </c>
      <c r="I1202" t="s">
        <v>164</v>
      </c>
    </row>
    <row r="1203" spans="1:9">
      <c r="A1203" s="49">
        <v>45933</v>
      </c>
      <c r="B1203" s="50">
        <v>0.8646180555555556</v>
      </c>
      <c r="C1203" t="s">
        <v>150</v>
      </c>
      <c r="D1203" t="s">
        <v>42</v>
      </c>
      <c r="E1203" t="s">
        <v>177</v>
      </c>
      <c r="F1203" t="s">
        <v>667</v>
      </c>
      <c r="G1203">
        <v>-36000</v>
      </c>
      <c r="H1203" t="s">
        <v>153</v>
      </c>
      <c r="I1203" t="s">
        <v>214</v>
      </c>
    </row>
    <row r="1204" spans="1:9">
      <c r="A1204" s="49">
        <v>45933</v>
      </c>
      <c r="B1204" s="50">
        <v>0.7847453703703704</v>
      </c>
      <c r="C1204" t="s">
        <v>150</v>
      </c>
      <c r="D1204" t="s">
        <v>42</v>
      </c>
      <c r="E1204" t="s">
        <v>374</v>
      </c>
      <c r="F1204" t="s">
        <v>668</v>
      </c>
      <c r="G1204">
        <v>-27000</v>
      </c>
      <c r="H1204" t="s">
        <v>153</v>
      </c>
      <c r="I1204" t="s">
        <v>214</v>
      </c>
    </row>
    <row r="1205" spans="1:9">
      <c r="A1205" s="49">
        <v>45933</v>
      </c>
      <c r="B1205" s="50">
        <v>0.7762731481481482</v>
      </c>
      <c r="C1205" t="s">
        <v>150</v>
      </c>
      <c r="D1205" t="s">
        <v>42</v>
      </c>
      <c r="E1205" t="s">
        <v>374</v>
      </c>
      <c r="F1205" t="s">
        <v>669</v>
      </c>
      <c r="G1205">
        <v>-35000</v>
      </c>
      <c r="H1205" t="s">
        <v>153</v>
      </c>
      <c r="I1205" t="s">
        <v>214</v>
      </c>
    </row>
    <row r="1206" spans="1:9">
      <c r="A1206" s="49">
        <v>45933</v>
      </c>
      <c r="B1206" s="50">
        <v>0.6220833333333333</v>
      </c>
      <c r="C1206" t="s">
        <v>150</v>
      </c>
      <c r="D1206" t="s">
        <v>35</v>
      </c>
      <c r="E1206" t="s">
        <v>482</v>
      </c>
      <c r="F1206" t="s">
        <v>670</v>
      </c>
      <c r="G1206">
        <v>-3000</v>
      </c>
      <c r="H1206" t="s">
        <v>153</v>
      </c>
      <c r="I1206" t="s">
        <v>214</v>
      </c>
    </row>
    <row r="1207" spans="1:9">
      <c r="A1207" s="49">
        <v>45933</v>
      </c>
      <c r="B1207" s="50">
        <v>0.6207638888888889</v>
      </c>
      <c r="C1207" t="s">
        <v>150</v>
      </c>
      <c r="D1207" t="s">
        <v>35</v>
      </c>
      <c r="E1207" t="s">
        <v>482</v>
      </c>
      <c r="F1207" t="s">
        <v>670</v>
      </c>
      <c r="G1207">
        <v>-3000</v>
      </c>
      <c r="H1207" t="s">
        <v>153</v>
      </c>
      <c r="I1207" t="s">
        <v>214</v>
      </c>
    </row>
    <row r="1208" spans="1:9">
      <c r="A1208" s="49">
        <v>45933</v>
      </c>
      <c r="B1208" s="50">
        <v>0.6191203703703704</v>
      </c>
      <c r="C1208" t="s">
        <v>150</v>
      </c>
      <c r="D1208" t="s">
        <v>35</v>
      </c>
      <c r="E1208" t="s">
        <v>482</v>
      </c>
      <c r="F1208" t="s">
        <v>670</v>
      </c>
      <c r="G1208">
        <v>-3000</v>
      </c>
      <c r="H1208" t="s">
        <v>153</v>
      </c>
      <c r="I1208" t="s">
        <v>214</v>
      </c>
    </row>
    <row r="1209" spans="1:9">
      <c r="A1209" s="49">
        <v>45933</v>
      </c>
      <c r="B1209" s="50">
        <v>0.4998958333333333</v>
      </c>
      <c r="C1209" t="s">
        <v>150</v>
      </c>
      <c r="D1209" t="s">
        <v>43</v>
      </c>
      <c r="E1209" t="s">
        <v>389</v>
      </c>
      <c r="F1209" t="s">
        <v>671</v>
      </c>
      <c r="G1209">
        <v>-20000</v>
      </c>
      <c r="H1209" t="s">
        <v>153</v>
      </c>
      <c r="I1209" t="s">
        <v>214</v>
      </c>
    </row>
    <row r="1210" spans="1:9">
      <c r="A1210" s="49">
        <v>45933</v>
      </c>
      <c r="B1210" s="50">
        <v>0.01936342592592593</v>
      </c>
      <c r="C1210" t="s">
        <v>155</v>
      </c>
      <c r="D1210" t="s">
        <v>158</v>
      </c>
      <c r="E1210" t="s">
        <v>32</v>
      </c>
      <c r="F1210" t="s">
        <v>450</v>
      </c>
      <c r="G1210">
        <v>-44000</v>
      </c>
      <c r="H1210" t="s">
        <v>153</v>
      </c>
      <c r="I1210" t="s">
        <v>64</v>
      </c>
    </row>
    <row r="1211" spans="1:9">
      <c r="A1211" s="49">
        <v>45932</v>
      </c>
      <c r="B1211" s="50">
        <v>0.8275578703703703</v>
      </c>
      <c r="C1211" t="s">
        <v>150</v>
      </c>
      <c r="D1211" t="s">
        <v>40</v>
      </c>
      <c r="E1211" t="s">
        <v>172</v>
      </c>
      <c r="F1211" t="s">
        <v>672</v>
      </c>
      <c r="G1211">
        <v>-15500</v>
      </c>
      <c r="H1211" t="s">
        <v>153</v>
      </c>
      <c r="I1211" t="s">
        <v>214</v>
      </c>
    </row>
    <row r="1212" spans="1:9">
      <c r="A1212" s="49">
        <v>45932</v>
      </c>
      <c r="B1212" s="50">
        <v>0.7011921296296296</v>
      </c>
      <c r="C1212" t="s">
        <v>150</v>
      </c>
      <c r="D1212" t="s">
        <v>35</v>
      </c>
      <c r="E1212" t="s">
        <v>174</v>
      </c>
      <c r="F1212" t="s">
        <v>314</v>
      </c>
      <c r="G1212">
        <v>-10000</v>
      </c>
      <c r="H1212" t="s">
        <v>153</v>
      </c>
      <c r="I1212" t="s">
        <v>64</v>
      </c>
    </row>
    <row r="1213" spans="1:9">
      <c r="A1213" s="49">
        <v>45932</v>
      </c>
      <c r="B1213" s="50">
        <v>0.7002893518518518</v>
      </c>
      <c r="C1213" t="s">
        <v>150</v>
      </c>
      <c r="D1213" t="s">
        <v>35</v>
      </c>
      <c r="E1213" t="s">
        <v>174</v>
      </c>
      <c r="F1213" t="s">
        <v>314</v>
      </c>
      <c r="G1213">
        <v>-20000</v>
      </c>
      <c r="H1213" t="s">
        <v>153</v>
      </c>
      <c r="I1213" t="s">
        <v>64</v>
      </c>
    </row>
    <row r="1214" spans="1:9">
      <c r="A1214" s="49">
        <v>45932</v>
      </c>
      <c r="B1214" s="50">
        <v>0.6727083333333334</v>
      </c>
      <c r="C1214" t="s">
        <v>150</v>
      </c>
      <c r="D1214" t="s">
        <v>35</v>
      </c>
      <c r="E1214" t="s">
        <v>169</v>
      </c>
      <c r="F1214" t="s">
        <v>563</v>
      </c>
      <c r="G1214">
        <v>-1824</v>
      </c>
      <c r="H1214" t="s">
        <v>153</v>
      </c>
      <c r="I1214" t="s">
        <v>164</v>
      </c>
    </row>
    <row r="1215" spans="1:9">
      <c r="A1215" s="49">
        <v>45932</v>
      </c>
      <c r="B1215" s="50">
        <v>0.4811574074074074</v>
      </c>
      <c r="C1215" t="s">
        <v>150</v>
      </c>
      <c r="D1215" t="s">
        <v>35</v>
      </c>
      <c r="E1215" t="s">
        <v>169</v>
      </c>
      <c r="F1215" t="s">
        <v>170</v>
      </c>
      <c r="G1215">
        <v>-4900</v>
      </c>
      <c r="H1215" t="s">
        <v>153</v>
      </c>
      <c r="I1215" t="s">
        <v>171</v>
      </c>
    </row>
    <row r="1216" spans="1:9">
      <c r="A1216" s="49">
        <v>45931</v>
      </c>
      <c r="B1216" s="50">
        <v>0.3267013888888889</v>
      </c>
      <c r="C1216" t="s">
        <v>155</v>
      </c>
      <c r="D1216" t="s">
        <v>155</v>
      </c>
      <c r="E1216" t="s">
        <v>32</v>
      </c>
      <c r="F1216" t="s">
        <v>673</v>
      </c>
      <c r="G1216">
        <v>370000</v>
      </c>
      <c r="H1216" t="s">
        <v>153</v>
      </c>
      <c r="I1216" t="s">
        <v>64</v>
      </c>
    </row>
    <row r="1217" spans="1:9">
      <c r="A1217" s="49">
        <v>45931</v>
      </c>
      <c r="B1217" s="50">
        <v>0.09386574074074074</v>
      </c>
      <c r="C1217" t="s">
        <v>167</v>
      </c>
      <c r="D1217" t="s">
        <v>28</v>
      </c>
      <c r="E1217" t="s">
        <v>32</v>
      </c>
      <c r="F1217" t="s">
        <v>274</v>
      </c>
      <c r="G1217">
        <v>0</v>
      </c>
      <c r="H1217" t="s">
        <v>153</v>
      </c>
      <c r="I1217" t="s">
        <v>61</v>
      </c>
    </row>
    <row r="1218" spans="1:9">
      <c r="A1218" s="49">
        <v>45930</v>
      </c>
      <c r="B1218" s="50">
        <v>0.8503587962962963</v>
      </c>
      <c r="C1218" t="s">
        <v>150</v>
      </c>
      <c r="D1218" t="s">
        <v>37</v>
      </c>
      <c r="E1218" t="s">
        <v>438</v>
      </c>
      <c r="F1218" t="s">
        <v>510</v>
      </c>
      <c r="G1218">
        <v>-6000</v>
      </c>
      <c r="H1218" t="s">
        <v>153</v>
      </c>
      <c r="I1218" t="s">
        <v>214</v>
      </c>
    </row>
    <row r="1219" spans="1:9">
      <c r="A1219" s="49">
        <v>45930</v>
      </c>
      <c r="B1219" s="50">
        <v>0.8495949074074074</v>
      </c>
      <c r="C1219" t="s">
        <v>150</v>
      </c>
      <c r="D1219" t="s">
        <v>37</v>
      </c>
      <c r="E1219" t="s">
        <v>438</v>
      </c>
      <c r="F1219" t="s">
        <v>510</v>
      </c>
      <c r="G1219">
        <v>-6000</v>
      </c>
      <c r="H1219" t="s">
        <v>153</v>
      </c>
      <c r="I1219" t="s">
        <v>214</v>
      </c>
    </row>
    <row r="1220" spans="1:9">
      <c r="A1220" s="49">
        <v>45930</v>
      </c>
      <c r="B1220" s="50">
        <v>0.7654282407407408</v>
      </c>
      <c r="C1220" t="s">
        <v>150</v>
      </c>
      <c r="D1220" t="s">
        <v>42</v>
      </c>
      <c r="E1220" t="s">
        <v>151</v>
      </c>
      <c r="F1220" t="s">
        <v>152</v>
      </c>
      <c r="G1220">
        <v>-21000</v>
      </c>
      <c r="H1220" t="s">
        <v>153</v>
      </c>
      <c r="I1220" t="s">
        <v>64</v>
      </c>
    </row>
    <row r="1221" spans="1:9">
      <c r="A1221" s="49">
        <v>45930</v>
      </c>
      <c r="B1221" s="50">
        <v>0.6025347222222223</v>
      </c>
      <c r="C1221" t="s">
        <v>150</v>
      </c>
      <c r="D1221" t="s">
        <v>35</v>
      </c>
      <c r="E1221" t="s">
        <v>169</v>
      </c>
      <c r="F1221" t="s">
        <v>563</v>
      </c>
      <c r="G1221">
        <v>-1653</v>
      </c>
      <c r="H1221" t="s">
        <v>153</v>
      </c>
      <c r="I1221" t="s">
        <v>164</v>
      </c>
    </row>
    <row r="1222" spans="1:9">
      <c r="A1222" s="49">
        <v>45930</v>
      </c>
      <c r="B1222" s="50">
        <v>0.5559027777777777</v>
      </c>
      <c r="C1222" t="s">
        <v>150</v>
      </c>
      <c r="D1222" t="s">
        <v>42</v>
      </c>
      <c r="E1222" t="s">
        <v>674</v>
      </c>
      <c r="F1222" t="s">
        <v>675</v>
      </c>
      <c r="G1222">
        <v>-9900</v>
      </c>
      <c r="H1222" t="s">
        <v>153</v>
      </c>
      <c r="I1222" t="s">
        <v>214</v>
      </c>
    </row>
    <row r="1223" spans="1:9">
      <c r="A1223" s="49">
        <v>45930</v>
      </c>
      <c r="B1223" s="50">
        <v>0.4486226851851852</v>
      </c>
      <c r="C1223" t="s">
        <v>150</v>
      </c>
      <c r="D1223" t="s">
        <v>35</v>
      </c>
      <c r="E1223" t="s">
        <v>169</v>
      </c>
      <c r="F1223" t="s">
        <v>563</v>
      </c>
      <c r="G1223">
        <v>-1653</v>
      </c>
      <c r="H1223" t="s">
        <v>153</v>
      </c>
      <c r="I1223" t="s">
        <v>164</v>
      </c>
    </row>
    <row r="1224" spans="1:9">
      <c r="A1224" s="49">
        <v>45930</v>
      </c>
      <c r="B1224" s="50">
        <v>0.4486226851851852</v>
      </c>
      <c r="C1224" t="s">
        <v>155</v>
      </c>
      <c r="D1224" t="s">
        <v>158</v>
      </c>
      <c r="E1224" t="s">
        <v>32</v>
      </c>
      <c r="F1224" t="s">
        <v>159</v>
      </c>
      <c r="G1224">
        <v>10000</v>
      </c>
      <c r="H1224" t="s">
        <v>153</v>
      </c>
      <c r="I1224" t="s">
        <v>157</v>
      </c>
    </row>
    <row r="1225" spans="1:9">
      <c r="A1225" s="49">
        <v>45930</v>
      </c>
      <c r="B1225" s="50">
        <v>0.4486226851851852</v>
      </c>
      <c r="C1225" t="s">
        <v>155</v>
      </c>
      <c r="D1225" t="s">
        <v>158</v>
      </c>
      <c r="E1225" t="s">
        <v>32</v>
      </c>
      <c r="F1225" t="s">
        <v>160</v>
      </c>
      <c r="G1225">
        <v>-10000</v>
      </c>
      <c r="H1225" t="s">
        <v>153</v>
      </c>
      <c r="I1225" t="s">
        <v>64</v>
      </c>
    </row>
    <row r="1226" spans="1:9">
      <c r="A1226" s="49">
        <v>45930</v>
      </c>
      <c r="B1226" s="50">
        <v>0.3897337962962963</v>
      </c>
      <c r="C1226" t="s">
        <v>150</v>
      </c>
      <c r="D1226" t="s">
        <v>42</v>
      </c>
      <c r="E1226" t="s">
        <v>374</v>
      </c>
      <c r="F1226" t="s">
        <v>375</v>
      </c>
      <c r="G1226">
        <v>-2000</v>
      </c>
      <c r="H1226" t="s">
        <v>153</v>
      </c>
      <c r="I1226" t="s">
        <v>214</v>
      </c>
    </row>
    <row r="1227" spans="1:9">
      <c r="A1227" s="49">
        <v>45929</v>
      </c>
      <c r="B1227" s="50">
        <v>0.6608564814814815</v>
      </c>
      <c r="C1227" t="s">
        <v>150</v>
      </c>
      <c r="D1227" t="s">
        <v>49</v>
      </c>
      <c r="E1227" t="s">
        <v>304</v>
      </c>
      <c r="F1227" t="s">
        <v>654</v>
      </c>
      <c r="G1227">
        <v>-33890</v>
      </c>
      <c r="H1227" t="s">
        <v>153</v>
      </c>
      <c r="I1227" t="s">
        <v>164</v>
      </c>
    </row>
    <row r="1228" spans="1:9">
      <c r="A1228" s="49">
        <v>45929</v>
      </c>
      <c r="B1228" s="50">
        <v>0.660775462962963</v>
      </c>
      <c r="C1228" t="s">
        <v>155</v>
      </c>
      <c r="D1228" t="s">
        <v>155</v>
      </c>
      <c r="E1228" t="s">
        <v>32</v>
      </c>
      <c r="F1228" t="s">
        <v>160</v>
      </c>
      <c r="G1228">
        <v>-30369</v>
      </c>
      <c r="H1228" t="s">
        <v>153</v>
      </c>
      <c r="I1228" t="s">
        <v>64</v>
      </c>
    </row>
    <row r="1229" spans="1:9">
      <c r="A1229" s="49">
        <v>45929</v>
      </c>
      <c r="B1229" s="50">
        <v>0.5655555555555556</v>
      </c>
      <c r="C1229" t="s">
        <v>150</v>
      </c>
      <c r="D1229" t="s">
        <v>44</v>
      </c>
      <c r="E1229" t="s">
        <v>225</v>
      </c>
      <c r="F1229" t="s">
        <v>395</v>
      </c>
      <c r="G1229">
        <v>-14900</v>
      </c>
      <c r="H1229" t="s">
        <v>153</v>
      </c>
      <c r="I1229" t="s">
        <v>171</v>
      </c>
    </row>
    <row r="1230" spans="1:9">
      <c r="A1230" s="49">
        <v>45929</v>
      </c>
      <c r="B1230" s="50">
        <v>0.5218055555555555</v>
      </c>
      <c r="C1230" t="s">
        <v>150</v>
      </c>
      <c r="D1230" t="s">
        <v>40</v>
      </c>
      <c r="E1230" t="s">
        <v>172</v>
      </c>
      <c r="F1230" t="s">
        <v>676</v>
      </c>
      <c r="G1230">
        <v>-2500</v>
      </c>
      <c r="H1230" t="s">
        <v>153</v>
      </c>
      <c r="I1230" t="s">
        <v>214</v>
      </c>
    </row>
    <row r="1231" spans="1:9">
      <c r="A1231" s="49">
        <v>45929</v>
      </c>
      <c r="B1231" s="50">
        <v>0.3985416666666667</v>
      </c>
      <c r="C1231" t="s">
        <v>150</v>
      </c>
      <c r="D1231" t="s">
        <v>42</v>
      </c>
      <c r="E1231" t="s">
        <v>374</v>
      </c>
      <c r="F1231" t="s">
        <v>375</v>
      </c>
      <c r="G1231">
        <v>-4000</v>
      </c>
      <c r="H1231" t="s">
        <v>153</v>
      </c>
      <c r="I1231" t="s">
        <v>214</v>
      </c>
    </row>
    <row r="1232" spans="1:9">
      <c r="A1232" s="49">
        <v>45929</v>
      </c>
      <c r="B1232" s="50">
        <v>0.3275231481481481</v>
      </c>
      <c r="C1232" t="s">
        <v>155</v>
      </c>
      <c r="D1232" t="s">
        <v>158</v>
      </c>
      <c r="E1232" t="s">
        <v>32</v>
      </c>
      <c r="F1232" t="s">
        <v>160</v>
      </c>
      <c r="G1232">
        <v>-10000</v>
      </c>
      <c r="H1232" t="s">
        <v>153</v>
      </c>
      <c r="I1232" t="s">
        <v>64</v>
      </c>
    </row>
    <row r="1233" spans="1:9">
      <c r="A1233" s="49">
        <v>45929</v>
      </c>
      <c r="B1233" s="50">
        <v>0.3275115740740741</v>
      </c>
      <c r="C1233" t="s">
        <v>155</v>
      </c>
      <c r="D1233" t="s">
        <v>158</v>
      </c>
      <c r="E1233" t="s">
        <v>32</v>
      </c>
      <c r="F1233" t="s">
        <v>159</v>
      </c>
      <c r="G1233">
        <v>10000</v>
      </c>
      <c r="H1233" t="s">
        <v>153</v>
      </c>
      <c r="I1233" t="s">
        <v>157</v>
      </c>
    </row>
    <row r="1234" spans="1:9">
      <c r="A1234" s="49">
        <v>45929</v>
      </c>
      <c r="B1234" s="50">
        <v>0.3275115740740741</v>
      </c>
      <c r="C1234" t="s">
        <v>150</v>
      </c>
      <c r="D1234" t="s">
        <v>44</v>
      </c>
      <c r="E1234" t="s">
        <v>315</v>
      </c>
      <c r="F1234" t="s">
        <v>316</v>
      </c>
      <c r="G1234">
        <v>-14000</v>
      </c>
      <c r="H1234" t="s">
        <v>153</v>
      </c>
      <c r="I1234" t="s">
        <v>164</v>
      </c>
    </row>
    <row r="1235" spans="1:9">
      <c r="A1235" s="49">
        <v>45928</v>
      </c>
      <c r="B1235" s="50">
        <v>0.7933680555555556</v>
      </c>
      <c r="C1235" t="s">
        <v>150</v>
      </c>
      <c r="D1235" t="s">
        <v>49</v>
      </c>
      <c r="E1235" t="s">
        <v>304</v>
      </c>
      <c r="F1235" t="s">
        <v>677</v>
      </c>
      <c r="G1235">
        <v>-2500</v>
      </c>
      <c r="H1235" t="s">
        <v>153</v>
      </c>
      <c r="I1235" t="s">
        <v>164</v>
      </c>
    </row>
    <row r="1236" spans="1:9">
      <c r="A1236" s="49">
        <v>45928</v>
      </c>
      <c r="B1236" s="50">
        <v>0.7933680555555556</v>
      </c>
      <c r="C1236" t="s">
        <v>155</v>
      </c>
      <c r="D1236" t="s">
        <v>158</v>
      </c>
      <c r="E1236" t="s">
        <v>32</v>
      </c>
      <c r="F1236" t="s">
        <v>159</v>
      </c>
      <c r="G1236">
        <v>10000</v>
      </c>
      <c r="H1236" t="s">
        <v>153</v>
      </c>
      <c r="I1236" t="s">
        <v>157</v>
      </c>
    </row>
    <row r="1237" spans="1:9">
      <c r="A1237" s="49">
        <v>45928</v>
      </c>
      <c r="B1237" s="50">
        <v>0.7933680555555556</v>
      </c>
      <c r="C1237" t="s">
        <v>155</v>
      </c>
      <c r="D1237" t="s">
        <v>158</v>
      </c>
      <c r="E1237" t="s">
        <v>32</v>
      </c>
      <c r="F1237" t="s">
        <v>160</v>
      </c>
      <c r="G1237">
        <v>-10000</v>
      </c>
      <c r="H1237" t="s">
        <v>153</v>
      </c>
      <c r="I1237" t="s">
        <v>64</v>
      </c>
    </row>
    <row r="1238" spans="1:9">
      <c r="A1238" s="49">
        <v>45928</v>
      </c>
      <c r="B1238" s="50">
        <v>0.7882523148148148</v>
      </c>
      <c r="C1238" t="s">
        <v>150</v>
      </c>
      <c r="D1238" t="s">
        <v>49</v>
      </c>
      <c r="E1238" t="s">
        <v>403</v>
      </c>
      <c r="F1238" t="s">
        <v>678</v>
      </c>
      <c r="G1238">
        <v>-294600</v>
      </c>
      <c r="H1238" t="s">
        <v>153</v>
      </c>
      <c r="I1238" t="s">
        <v>214</v>
      </c>
    </row>
    <row r="1239" spans="1:9">
      <c r="A1239" s="49">
        <v>45928</v>
      </c>
      <c r="B1239" s="50">
        <v>0.7661689814814815</v>
      </c>
      <c r="C1239" t="s">
        <v>150</v>
      </c>
      <c r="D1239" t="s">
        <v>49</v>
      </c>
      <c r="E1239" t="s">
        <v>403</v>
      </c>
      <c r="F1239" t="s">
        <v>678</v>
      </c>
      <c r="G1239">
        <v>-140000</v>
      </c>
      <c r="H1239" t="s">
        <v>153</v>
      </c>
      <c r="I1239" t="s">
        <v>214</v>
      </c>
    </row>
    <row r="1240" spans="1:9">
      <c r="A1240" s="49">
        <v>45928</v>
      </c>
      <c r="B1240" s="50">
        <v>0.6400347222222222</v>
      </c>
      <c r="C1240" t="s">
        <v>150</v>
      </c>
      <c r="D1240" t="s">
        <v>42</v>
      </c>
      <c r="E1240" t="s">
        <v>151</v>
      </c>
      <c r="F1240" t="s">
        <v>152</v>
      </c>
      <c r="G1240">
        <v>-12400</v>
      </c>
      <c r="H1240" t="s">
        <v>153</v>
      </c>
      <c r="I1240" t="s">
        <v>64</v>
      </c>
    </row>
    <row r="1241" spans="1:9">
      <c r="A1241" s="49">
        <v>45927</v>
      </c>
      <c r="B1241" s="50">
        <v>0.8506944444444444</v>
      </c>
      <c r="C1241" t="s">
        <v>150</v>
      </c>
      <c r="D1241" t="s">
        <v>48</v>
      </c>
      <c r="E1241" t="s">
        <v>185</v>
      </c>
      <c r="F1241" t="s">
        <v>679</v>
      </c>
      <c r="G1241">
        <v>-2000</v>
      </c>
      <c r="H1241" t="s">
        <v>153</v>
      </c>
      <c r="I1241" t="s">
        <v>214</v>
      </c>
    </row>
    <row r="1242" spans="1:9">
      <c r="A1242" s="49">
        <v>45927</v>
      </c>
      <c r="B1242" s="50">
        <v>0.8415625</v>
      </c>
      <c r="C1242" t="s">
        <v>150</v>
      </c>
      <c r="D1242" t="s">
        <v>42</v>
      </c>
      <c r="E1242" t="s">
        <v>177</v>
      </c>
      <c r="F1242" t="s">
        <v>524</v>
      </c>
      <c r="G1242">
        <v>-75000</v>
      </c>
      <c r="H1242" t="s">
        <v>153</v>
      </c>
      <c r="I1242" t="s">
        <v>214</v>
      </c>
    </row>
    <row r="1243" spans="1:9">
      <c r="A1243" s="49">
        <v>45927</v>
      </c>
      <c r="B1243" s="50">
        <v>0.7961805555555556</v>
      </c>
      <c r="C1243" t="s">
        <v>150</v>
      </c>
      <c r="D1243" t="s">
        <v>42</v>
      </c>
      <c r="E1243" t="s">
        <v>212</v>
      </c>
      <c r="F1243" t="s">
        <v>213</v>
      </c>
      <c r="G1243">
        <v>20000</v>
      </c>
      <c r="H1243" t="s">
        <v>153</v>
      </c>
      <c r="I1243" t="s">
        <v>214</v>
      </c>
    </row>
    <row r="1244" spans="1:9">
      <c r="A1244" s="49">
        <v>45927</v>
      </c>
      <c r="B1244" s="50">
        <v>0.6980092592592593</v>
      </c>
      <c r="C1244" t="s">
        <v>150</v>
      </c>
      <c r="D1244" t="s">
        <v>42</v>
      </c>
      <c r="E1244" t="s">
        <v>212</v>
      </c>
      <c r="F1244" t="s">
        <v>213</v>
      </c>
      <c r="G1244">
        <v>-20000</v>
      </c>
      <c r="H1244" t="s">
        <v>153</v>
      </c>
      <c r="I1244" t="s">
        <v>214</v>
      </c>
    </row>
    <row r="1245" spans="1:9">
      <c r="A1245" s="49">
        <v>45927</v>
      </c>
      <c r="B1245" s="50">
        <v>0.3829861111111111</v>
      </c>
      <c r="C1245" t="s">
        <v>155</v>
      </c>
      <c r="D1245" t="s">
        <v>158</v>
      </c>
      <c r="E1245" t="s">
        <v>32</v>
      </c>
      <c r="F1245" t="s">
        <v>160</v>
      </c>
      <c r="G1245">
        <v>-13586</v>
      </c>
      <c r="H1245" t="s">
        <v>153</v>
      </c>
      <c r="I1245" t="s">
        <v>64</v>
      </c>
    </row>
    <row r="1246" spans="1:9">
      <c r="A1246" s="49">
        <v>45927</v>
      </c>
      <c r="B1246" s="50">
        <v>0.3829861111111111</v>
      </c>
      <c r="C1246" t="s">
        <v>150</v>
      </c>
      <c r="D1246" t="s">
        <v>44</v>
      </c>
      <c r="E1246" t="s">
        <v>315</v>
      </c>
      <c r="F1246" t="s">
        <v>316</v>
      </c>
      <c r="G1246">
        <v>-29000</v>
      </c>
      <c r="H1246" t="s">
        <v>153</v>
      </c>
      <c r="I1246" t="s">
        <v>164</v>
      </c>
    </row>
    <row r="1247" spans="1:9">
      <c r="A1247" s="49">
        <v>45927</v>
      </c>
      <c r="B1247" s="50">
        <v>0.3829861111111111</v>
      </c>
      <c r="C1247" t="s">
        <v>155</v>
      </c>
      <c r="D1247" t="s">
        <v>158</v>
      </c>
      <c r="E1247" t="s">
        <v>32</v>
      </c>
      <c r="F1247" t="s">
        <v>159</v>
      </c>
      <c r="G1247">
        <v>13586</v>
      </c>
      <c r="H1247" t="s">
        <v>153</v>
      </c>
      <c r="I1247" t="s">
        <v>157</v>
      </c>
    </row>
    <row r="1248" spans="1:9">
      <c r="A1248" s="49">
        <v>45927</v>
      </c>
      <c r="B1248" s="50">
        <v>0.1969212962962963</v>
      </c>
      <c r="C1248" t="s">
        <v>167</v>
      </c>
      <c r="D1248" t="s">
        <v>28</v>
      </c>
      <c r="E1248" t="s">
        <v>32</v>
      </c>
      <c r="F1248" t="s">
        <v>278</v>
      </c>
      <c r="G1248">
        <v>514</v>
      </c>
      <c r="H1248" t="s">
        <v>153</v>
      </c>
      <c r="I1248" t="s">
        <v>64</v>
      </c>
    </row>
    <row r="1249" spans="1:9">
      <c r="A1249" s="49">
        <v>45927</v>
      </c>
      <c r="B1249" s="50">
        <v>0.108900462962963</v>
      </c>
      <c r="C1249" t="s">
        <v>155</v>
      </c>
      <c r="D1249" t="s">
        <v>241</v>
      </c>
      <c r="E1249" t="s">
        <v>32</v>
      </c>
      <c r="F1249" t="s">
        <v>279</v>
      </c>
      <c r="G1249">
        <v>0</v>
      </c>
      <c r="H1249" t="s">
        <v>153</v>
      </c>
      <c r="I1249" t="s">
        <v>62</v>
      </c>
    </row>
    <row r="1250" spans="1:9">
      <c r="A1250" s="49">
        <v>45926</v>
      </c>
      <c r="B1250" s="50">
        <v>0.9774305555555556</v>
      </c>
      <c r="C1250" t="s">
        <v>150</v>
      </c>
      <c r="D1250" t="s">
        <v>40</v>
      </c>
      <c r="E1250" t="s">
        <v>380</v>
      </c>
      <c r="F1250" t="s">
        <v>381</v>
      </c>
      <c r="G1250">
        <v>-2300</v>
      </c>
      <c r="H1250" t="s">
        <v>153</v>
      </c>
      <c r="I1250" t="s">
        <v>164</v>
      </c>
    </row>
    <row r="1251" spans="1:9">
      <c r="A1251" s="49">
        <v>45926</v>
      </c>
      <c r="B1251" s="50">
        <v>0.5248148148148148</v>
      </c>
      <c r="C1251" t="s">
        <v>150</v>
      </c>
      <c r="D1251" t="s">
        <v>35</v>
      </c>
      <c r="E1251" t="s">
        <v>169</v>
      </c>
      <c r="F1251" t="s">
        <v>563</v>
      </c>
      <c r="G1251">
        <v>-1824</v>
      </c>
      <c r="H1251" t="s">
        <v>153</v>
      </c>
      <c r="I1251" t="s">
        <v>164</v>
      </c>
    </row>
    <row r="1252" spans="1:9">
      <c r="A1252" s="49">
        <v>45925</v>
      </c>
      <c r="B1252" s="50">
        <v>0.9302083333333333</v>
      </c>
      <c r="C1252" t="s">
        <v>150</v>
      </c>
      <c r="D1252" t="s">
        <v>40</v>
      </c>
      <c r="E1252" t="s">
        <v>172</v>
      </c>
      <c r="F1252" t="s">
        <v>379</v>
      </c>
      <c r="G1252">
        <v>-2500</v>
      </c>
      <c r="H1252" t="s">
        <v>153</v>
      </c>
      <c r="I1252" t="s">
        <v>214</v>
      </c>
    </row>
    <row r="1253" spans="1:9">
      <c r="A1253" s="49">
        <v>45925</v>
      </c>
      <c r="B1253" s="50">
        <v>0.8720486111111111</v>
      </c>
      <c r="C1253" t="s">
        <v>155</v>
      </c>
      <c r="D1253" t="s">
        <v>158</v>
      </c>
      <c r="E1253" t="s">
        <v>32</v>
      </c>
      <c r="F1253" t="s">
        <v>450</v>
      </c>
      <c r="G1253">
        <v>-18000</v>
      </c>
      <c r="H1253" t="s">
        <v>153</v>
      </c>
      <c r="I1253" t="s">
        <v>64</v>
      </c>
    </row>
    <row r="1254" spans="1:9">
      <c r="A1254" s="49">
        <v>45925</v>
      </c>
      <c r="B1254" s="50">
        <v>0.7085532407407408</v>
      </c>
      <c r="C1254" t="s">
        <v>155</v>
      </c>
      <c r="D1254" t="s">
        <v>158</v>
      </c>
      <c r="E1254" t="s">
        <v>32</v>
      </c>
      <c r="F1254" t="s">
        <v>7</v>
      </c>
      <c r="G1254">
        <v>-1000000</v>
      </c>
      <c r="H1254" t="s">
        <v>153</v>
      </c>
      <c r="I1254" t="s">
        <v>64</v>
      </c>
    </row>
    <row r="1255" spans="1:9">
      <c r="A1255" s="49">
        <v>45925</v>
      </c>
      <c r="B1255" s="50">
        <v>0.6415162037037037</v>
      </c>
      <c r="C1255" t="s">
        <v>167</v>
      </c>
      <c r="D1255" t="s">
        <v>28</v>
      </c>
      <c r="E1255" t="s">
        <v>32</v>
      </c>
      <c r="F1255" t="s">
        <v>535</v>
      </c>
      <c r="G1255">
        <v>1000000</v>
      </c>
      <c r="H1255" t="s">
        <v>153</v>
      </c>
      <c r="I1255" t="s">
        <v>64</v>
      </c>
    </row>
    <row r="1256" spans="1:9">
      <c r="A1256" s="49">
        <v>45925</v>
      </c>
      <c r="B1256" s="50">
        <v>0.5972222222222222</v>
      </c>
      <c r="C1256" t="s">
        <v>155</v>
      </c>
      <c r="D1256" t="s">
        <v>158</v>
      </c>
      <c r="E1256" t="s">
        <v>32</v>
      </c>
      <c r="F1256" t="s">
        <v>7</v>
      </c>
      <c r="G1256">
        <v>-3000000</v>
      </c>
      <c r="H1256" t="s">
        <v>153</v>
      </c>
      <c r="I1256" t="s">
        <v>64</v>
      </c>
    </row>
    <row r="1257" spans="1:9">
      <c r="A1257" s="49">
        <v>45925</v>
      </c>
      <c r="B1257" s="50">
        <v>0.5838194444444444</v>
      </c>
      <c r="C1257" t="s">
        <v>155</v>
      </c>
      <c r="D1257" t="s">
        <v>158</v>
      </c>
      <c r="E1257" t="s">
        <v>32</v>
      </c>
      <c r="F1257" t="s">
        <v>450</v>
      </c>
      <c r="G1257">
        <v>-11500</v>
      </c>
      <c r="H1257" t="s">
        <v>153</v>
      </c>
      <c r="I1257" t="s">
        <v>64</v>
      </c>
    </row>
    <row r="1258" spans="1:9">
      <c r="A1258" s="49">
        <v>45925</v>
      </c>
      <c r="B1258" s="50">
        <v>0.5690162037037036</v>
      </c>
      <c r="C1258" t="s">
        <v>150</v>
      </c>
      <c r="D1258" t="s">
        <v>35</v>
      </c>
      <c r="E1258" t="s">
        <v>169</v>
      </c>
      <c r="F1258" t="s">
        <v>563</v>
      </c>
      <c r="G1258">
        <v>-1824</v>
      </c>
      <c r="H1258" t="s">
        <v>153</v>
      </c>
      <c r="I1258" t="s">
        <v>164</v>
      </c>
    </row>
    <row r="1259" spans="1:9">
      <c r="A1259" s="49">
        <v>45925</v>
      </c>
      <c r="B1259" s="50">
        <v>0.4071990740740741</v>
      </c>
      <c r="C1259" t="s">
        <v>155</v>
      </c>
      <c r="D1259" t="s">
        <v>155</v>
      </c>
      <c r="E1259" t="s">
        <v>32</v>
      </c>
      <c r="F1259" t="s">
        <v>246</v>
      </c>
      <c r="G1259">
        <v>-7500</v>
      </c>
      <c r="H1259" t="s">
        <v>153</v>
      </c>
      <c r="I1259" t="s">
        <v>64</v>
      </c>
    </row>
    <row r="1260" spans="1:9">
      <c r="A1260" s="49">
        <v>45924</v>
      </c>
      <c r="B1260" s="50">
        <v>0.3437962962962963</v>
      </c>
      <c r="C1260" t="s">
        <v>150</v>
      </c>
      <c r="D1260" t="s">
        <v>42</v>
      </c>
      <c r="E1260" t="s">
        <v>674</v>
      </c>
      <c r="F1260" t="s">
        <v>675</v>
      </c>
      <c r="G1260">
        <v>-5900</v>
      </c>
      <c r="H1260" t="s">
        <v>153</v>
      </c>
      <c r="I1260" t="s">
        <v>214</v>
      </c>
    </row>
    <row r="1261" spans="1:9">
      <c r="A1261" s="49">
        <v>45923</v>
      </c>
      <c r="B1261" s="50">
        <v>0.5625462962962963</v>
      </c>
      <c r="C1261" t="s">
        <v>150</v>
      </c>
      <c r="D1261" t="s">
        <v>35</v>
      </c>
      <c r="E1261" t="s">
        <v>169</v>
      </c>
      <c r="F1261" t="s">
        <v>170</v>
      </c>
      <c r="G1261">
        <v>-920</v>
      </c>
      <c r="H1261" t="s">
        <v>153</v>
      </c>
      <c r="I1261" t="s">
        <v>171</v>
      </c>
    </row>
    <row r="1262" spans="1:9">
      <c r="A1262" s="49">
        <v>45923</v>
      </c>
      <c r="B1262" s="50">
        <v>0.5625462962962963</v>
      </c>
      <c r="C1262" t="s">
        <v>167</v>
      </c>
      <c r="D1262" t="s">
        <v>31</v>
      </c>
      <c r="E1262" t="s">
        <v>32</v>
      </c>
      <c r="F1262" t="s">
        <v>168</v>
      </c>
      <c r="G1262">
        <v>3000</v>
      </c>
      <c r="H1262" t="s">
        <v>153</v>
      </c>
      <c r="I1262" t="s">
        <v>64</v>
      </c>
    </row>
    <row r="1263" spans="1:9">
      <c r="A1263" s="49">
        <v>45923</v>
      </c>
      <c r="B1263" s="50">
        <v>0.5603356481481482</v>
      </c>
      <c r="C1263" t="s">
        <v>150</v>
      </c>
      <c r="D1263" t="s">
        <v>35</v>
      </c>
      <c r="E1263" t="s">
        <v>169</v>
      </c>
      <c r="F1263" t="s">
        <v>170</v>
      </c>
      <c r="G1263">
        <v>3000</v>
      </c>
      <c r="H1263" t="s">
        <v>153</v>
      </c>
      <c r="I1263" t="s">
        <v>171</v>
      </c>
    </row>
    <row r="1264" spans="1:9">
      <c r="A1264" s="49">
        <v>45923</v>
      </c>
      <c r="B1264" s="50">
        <v>0.5603356481481482</v>
      </c>
      <c r="C1264" t="s">
        <v>150</v>
      </c>
      <c r="D1264" t="s">
        <v>40</v>
      </c>
      <c r="E1264" t="s">
        <v>172</v>
      </c>
      <c r="F1264" t="s">
        <v>173</v>
      </c>
      <c r="G1264">
        <v>-3000</v>
      </c>
      <c r="H1264" t="s">
        <v>153</v>
      </c>
      <c r="I1264" t="s">
        <v>64</v>
      </c>
    </row>
    <row r="1265" spans="1:9">
      <c r="A1265" s="49">
        <v>45923</v>
      </c>
      <c r="B1265" s="50">
        <v>0.4691203703703704</v>
      </c>
      <c r="C1265" t="s">
        <v>150</v>
      </c>
      <c r="D1265" t="s">
        <v>42</v>
      </c>
      <c r="E1265" t="s">
        <v>374</v>
      </c>
      <c r="F1265" t="s">
        <v>375</v>
      </c>
      <c r="G1265">
        <v>-40000</v>
      </c>
      <c r="H1265" t="s">
        <v>153</v>
      </c>
      <c r="I1265" t="s">
        <v>214</v>
      </c>
    </row>
    <row r="1266" spans="1:9">
      <c r="A1266" s="49">
        <v>45923</v>
      </c>
      <c r="B1266" s="50">
        <v>0.01293981481481482</v>
      </c>
      <c r="C1266" t="s">
        <v>150</v>
      </c>
      <c r="D1266" t="s">
        <v>40</v>
      </c>
      <c r="E1266" t="s">
        <v>380</v>
      </c>
      <c r="F1266" t="s">
        <v>381</v>
      </c>
      <c r="G1266">
        <v>-15600</v>
      </c>
      <c r="H1266" t="s">
        <v>153</v>
      </c>
      <c r="I1266" t="s">
        <v>164</v>
      </c>
    </row>
    <row r="1267" spans="1:9">
      <c r="A1267" s="49">
        <v>45922</v>
      </c>
      <c r="B1267" s="50">
        <v>0.7811458333333333</v>
      </c>
      <c r="C1267" t="s">
        <v>150</v>
      </c>
      <c r="D1267" t="s">
        <v>40</v>
      </c>
      <c r="E1267" t="s">
        <v>380</v>
      </c>
      <c r="F1267" t="s">
        <v>381</v>
      </c>
      <c r="G1267">
        <v>-8300</v>
      </c>
      <c r="H1267" t="s">
        <v>153</v>
      </c>
      <c r="I1267" t="s">
        <v>164</v>
      </c>
    </row>
    <row r="1268" spans="1:9">
      <c r="A1268" s="49">
        <v>45922</v>
      </c>
      <c r="B1268" s="50">
        <v>0.7632638888888889</v>
      </c>
      <c r="C1268" t="s">
        <v>150</v>
      </c>
      <c r="D1268" t="s">
        <v>43</v>
      </c>
      <c r="E1268" t="s">
        <v>644</v>
      </c>
      <c r="F1268" t="s">
        <v>680</v>
      </c>
      <c r="G1268">
        <v>-32990</v>
      </c>
      <c r="H1268" t="s">
        <v>153</v>
      </c>
      <c r="I1268" t="s">
        <v>64</v>
      </c>
    </row>
    <row r="1269" spans="1:9">
      <c r="A1269" s="49">
        <v>45922</v>
      </c>
      <c r="B1269" s="50">
        <v>0.7528819444444445</v>
      </c>
      <c r="C1269" t="s">
        <v>155</v>
      </c>
      <c r="D1269" t="s">
        <v>158</v>
      </c>
      <c r="E1269" t="s">
        <v>32</v>
      </c>
      <c r="F1269" t="s">
        <v>7</v>
      </c>
      <c r="G1269">
        <v>-5000000</v>
      </c>
      <c r="H1269" t="s">
        <v>153</v>
      </c>
      <c r="I1269" t="s">
        <v>64</v>
      </c>
    </row>
    <row r="1270" spans="1:9">
      <c r="A1270" s="49">
        <v>45922</v>
      </c>
      <c r="B1270" s="50">
        <v>0.6575578703703704</v>
      </c>
      <c r="C1270" t="s">
        <v>155</v>
      </c>
      <c r="D1270" t="s">
        <v>158</v>
      </c>
      <c r="E1270" t="s">
        <v>32</v>
      </c>
      <c r="F1270" t="s">
        <v>450</v>
      </c>
      <c r="G1270">
        <v>-200000</v>
      </c>
      <c r="H1270" t="s">
        <v>153</v>
      </c>
      <c r="I1270" t="s">
        <v>64</v>
      </c>
    </row>
    <row r="1271" spans="1:9">
      <c r="A1271" s="49">
        <v>45922</v>
      </c>
      <c r="B1271" s="50">
        <v>0.6025694444444445</v>
      </c>
      <c r="C1271" t="s">
        <v>150</v>
      </c>
      <c r="D1271" t="s">
        <v>35</v>
      </c>
      <c r="E1271" t="s">
        <v>169</v>
      </c>
      <c r="F1271" t="s">
        <v>170</v>
      </c>
      <c r="G1271">
        <v>-690</v>
      </c>
      <c r="H1271" t="s">
        <v>153</v>
      </c>
      <c r="I1271" t="s">
        <v>171</v>
      </c>
    </row>
    <row r="1272" spans="1:9">
      <c r="A1272" s="49">
        <v>45922</v>
      </c>
      <c r="B1272" s="50">
        <v>0.6025694444444445</v>
      </c>
      <c r="C1272" t="s">
        <v>167</v>
      </c>
      <c r="D1272" t="s">
        <v>31</v>
      </c>
      <c r="E1272" t="s">
        <v>32</v>
      </c>
      <c r="F1272" t="s">
        <v>168</v>
      </c>
      <c r="G1272">
        <v>3000</v>
      </c>
      <c r="H1272" t="s">
        <v>153</v>
      </c>
      <c r="I1272" t="s">
        <v>64</v>
      </c>
    </row>
    <row r="1273" spans="1:9">
      <c r="A1273" s="49">
        <v>45922</v>
      </c>
      <c r="B1273" s="50">
        <v>0.6005439814814815</v>
      </c>
      <c r="C1273" t="s">
        <v>150</v>
      </c>
      <c r="D1273" t="s">
        <v>35</v>
      </c>
      <c r="E1273" t="s">
        <v>169</v>
      </c>
      <c r="F1273" t="s">
        <v>170</v>
      </c>
      <c r="G1273">
        <v>3000</v>
      </c>
      <c r="H1273" t="s">
        <v>153</v>
      </c>
      <c r="I1273" t="s">
        <v>171</v>
      </c>
    </row>
    <row r="1274" spans="1:9">
      <c r="A1274" s="49">
        <v>45922</v>
      </c>
      <c r="B1274" s="50">
        <v>0.6005324074074074</v>
      </c>
      <c r="C1274" t="s">
        <v>150</v>
      </c>
      <c r="D1274" t="s">
        <v>40</v>
      </c>
      <c r="E1274" t="s">
        <v>172</v>
      </c>
      <c r="F1274" t="s">
        <v>173</v>
      </c>
      <c r="G1274">
        <v>-3000</v>
      </c>
      <c r="H1274" t="s">
        <v>153</v>
      </c>
      <c r="I1274" t="s">
        <v>64</v>
      </c>
    </row>
    <row r="1275" spans="1:9">
      <c r="A1275" s="49">
        <v>45922</v>
      </c>
      <c r="B1275" s="50">
        <v>0.3421643518518518</v>
      </c>
      <c r="C1275" t="s">
        <v>150</v>
      </c>
      <c r="D1275" t="s">
        <v>36</v>
      </c>
      <c r="E1275" t="s">
        <v>266</v>
      </c>
      <c r="F1275" t="s">
        <v>681</v>
      </c>
      <c r="G1275">
        <v>-100000</v>
      </c>
      <c r="H1275" t="s">
        <v>153</v>
      </c>
      <c r="I1275" t="s">
        <v>214</v>
      </c>
    </row>
    <row r="1276" spans="1:9">
      <c r="A1276" s="49">
        <v>45921</v>
      </c>
      <c r="B1276" s="50">
        <v>0.8848379629629629</v>
      </c>
      <c r="C1276" t="s">
        <v>150</v>
      </c>
      <c r="D1276" t="s">
        <v>42</v>
      </c>
      <c r="E1276" t="s">
        <v>177</v>
      </c>
      <c r="F1276" t="s">
        <v>682</v>
      </c>
      <c r="G1276">
        <v>-51000</v>
      </c>
      <c r="H1276" t="s">
        <v>153</v>
      </c>
      <c r="I1276" t="s">
        <v>214</v>
      </c>
    </row>
    <row r="1277" spans="1:9">
      <c r="A1277" s="49">
        <v>45921</v>
      </c>
      <c r="B1277" s="50">
        <v>0.4973958333333333</v>
      </c>
      <c r="C1277" t="s">
        <v>150</v>
      </c>
      <c r="D1277" t="s">
        <v>42</v>
      </c>
      <c r="E1277" t="s">
        <v>212</v>
      </c>
      <c r="F1277" t="s">
        <v>683</v>
      </c>
      <c r="G1277">
        <v>-50000</v>
      </c>
      <c r="H1277" t="s">
        <v>153</v>
      </c>
      <c r="I1277" t="s">
        <v>214</v>
      </c>
    </row>
    <row r="1278" spans="1:9">
      <c r="A1278" s="49">
        <v>45921</v>
      </c>
      <c r="B1278" s="50">
        <v>0.4770833333333334</v>
      </c>
      <c r="C1278" t="s">
        <v>155</v>
      </c>
      <c r="D1278" t="s">
        <v>155</v>
      </c>
      <c r="E1278" t="s">
        <v>32</v>
      </c>
      <c r="F1278" t="s">
        <v>684</v>
      </c>
      <c r="G1278">
        <v>540000</v>
      </c>
      <c r="H1278" t="s">
        <v>153</v>
      </c>
      <c r="I1278" t="s">
        <v>64</v>
      </c>
    </row>
    <row r="1279" spans="1:9">
      <c r="A1279" s="49">
        <v>45920</v>
      </c>
      <c r="B1279" s="50">
        <v>0.7709606481481481</v>
      </c>
      <c r="C1279" t="s">
        <v>150</v>
      </c>
      <c r="D1279" t="s">
        <v>42</v>
      </c>
      <c r="E1279" t="s">
        <v>151</v>
      </c>
      <c r="F1279" t="s">
        <v>152</v>
      </c>
      <c r="G1279">
        <v>-35000</v>
      </c>
      <c r="H1279" t="s">
        <v>153</v>
      </c>
      <c r="I1279" t="s">
        <v>64</v>
      </c>
    </row>
    <row r="1280" spans="1:9">
      <c r="A1280" s="49">
        <v>45920</v>
      </c>
      <c r="B1280" s="50">
        <v>0.4624884259259259</v>
      </c>
      <c r="C1280" t="s">
        <v>150</v>
      </c>
      <c r="D1280" t="s">
        <v>42</v>
      </c>
      <c r="E1280" t="s">
        <v>151</v>
      </c>
      <c r="F1280" t="s">
        <v>152</v>
      </c>
      <c r="G1280">
        <v>-28900</v>
      </c>
      <c r="H1280" t="s">
        <v>153</v>
      </c>
      <c r="I1280" t="s">
        <v>64</v>
      </c>
    </row>
    <row r="1281" spans="1:9">
      <c r="A1281" s="49">
        <v>45920</v>
      </c>
      <c r="B1281" s="50">
        <v>0.441412037037037</v>
      </c>
      <c r="C1281" t="s">
        <v>167</v>
      </c>
      <c r="D1281" t="s">
        <v>28</v>
      </c>
      <c r="E1281" t="s">
        <v>32</v>
      </c>
      <c r="F1281" t="s">
        <v>188</v>
      </c>
      <c r="G1281">
        <v>1</v>
      </c>
      <c r="H1281" t="s">
        <v>153</v>
      </c>
      <c r="I1281" t="s">
        <v>60</v>
      </c>
    </row>
    <row r="1282" spans="1:9">
      <c r="A1282" s="49">
        <v>45920</v>
      </c>
      <c r="B1282" s="50">
        <v>0.1453125</v>
      </c>
      <c r="C1282" t="s">
        <v>155</v>
      </c>
      <c r="D1282" t="s">
        <v>32</v>
      </c>
      <c r="E1282" t="s">
        <v>32</v>
      </c>
      <c r="F1282" t="s">
        <v>189</v>
      </c>
      <c r="G1282">
        <v>1</v>
      </c>
      <c r="H1282" t="s">
        <v>153</v>
      </c>
      <c r="I1282" t="s">
        <v>66</v>
      </c>
    </row>
    <row r="1283" spans="1:9">
      <c r="A1283" s="49">
        <v>45920</v>
      </c>
      <c r="B1283" s="50">
        <v>0.1356828703703704</v>
      </c>
      <c r="C1283" t="s">
        <v>167</v>
      </c>
      <c r="D1283" t="s">
        <v>28</v>
      </c>
      <c r="E1283" t="s">
        <v>32</v>
      </c>
      <c r="F1283" t="s">
        <v>685</v>
      </c>
      <c r="G1283">
        <v>0</v>
      </c>
      <c r="H1283" t="s">
        <v>153</v>
      </c>
      <c r="I1283" t="s">
        <v>63</v>
      </c>
    </row>
    <row r="1284" spans="1:9">
      <c r="A1284" s="49">
        <v>45919</v>
      </c>
      <c r="B1284" s="50">
        <v>0.8095370370370371</v>
      </c>
      <c r="C1284" t="s">
        <v>150</v>
      </c>
      <c r="D1284" t="s">
        <v>40</v>
      </c>
      <c r="E1284" t="s">
        <v>380</v>
      </c>
      <c r="F1284" t="s">
        <v>381</v>
      </c>
      <c r="G1284">
        <v>-5500</v>
      </c>
      <c r="H1284" t="s">
        <v>153</v>
      </c>
      <c r="I1284" t="s">
        <v>164</v>
      </c>
    </row>
    <row r="1285" spans="1:9">
      <c r="A1285" s="49">
        <v>45919</v>
      </c>
      <c r="B1285" s="50">
        <v>0.4945601851851852</v>
      </c>
      <c r="C1285" t="s">
        <v>155</v>
      </c>
      <c r="D1285" t="s">
        <v>155</v>
      </c>
      <c r="E1285" t="s">
        <v>32</v>
      </c>
      <c r="F1285" t="s">
        <v>686</v>
      </c>
      <c r="G1285">
        <v>499000</v>
      </c>
      <c r="H1285" t="s">
        <v>153</v>
      </c>
      <c r="I1285" t="s">
        <v>64</v>
      </c>
    </row>
    <row r="1286" spans="1:9">
      <c r="A1286" s="49">
        <v>45919</v>
      </c>
      <c r="B1286" s="50">
        <v>0.4819675925925926</v>
      </c>
      <c r="C1286" t="s">
        <v>150</v>
      </c>
      <c r="D1286" t="s">
        <v>35</v>
      </c>
      <c r="E1286" t="s">
        <v>169</v>
      </c>
      <c r="F1286" t="s">
        <v>563</v>
      </c>
      <c r="G1286">
        <v>-1653</v>
      </c>
      <c r="H1286" t="s">
        <v>153</v>
      </c>
      <c r="I1286" t="s">
        <v>164</v>
      </c>
    </row>
    <row r="1287" spans="1:9">
      <c r="A1287" s="49">
        <v>45918</v>
      </c>
      <c r="B1287" s="50">
        <v>0.9193518518518519</v>
      </c>
      <c r="C1287" t="s">
        <v>150</v>
      </c>
      <c r="D1287" t="s">
        <v>40</v>
      </c>
      <c r="E1287" t="s">
        <v>172</v>
      </c>
      <c r="F1287" t="s">
        <v>383</v>
      </c>
      <c r="G1287">
        <v>0</v>
      </c>
      <c r="H1287" t="s">
        <v>153</v>
      </c>
      <c r="I1287" t="s">
        <v>164</v>
      </c>
    </row>
    <row r="1288" spans="1:9">
      <c r="A1288" s="49">
        <v>45918</v>
      </c>
      <c r="B1288" s="50">
        <v>0.6772569444444444</v>
      </c>
      <c r="C1288" t="s">
        <v>150</v>
      </c>
      <c r="D1288" t="s">
        <v>42</v>
      </c>
      <c r="E1288" t="s">
        <v>151</v>
      </c>
      <c r="F1288" t="s">
        <v>152</v>
      </c>
      <c r="G1288">
        <v>-23000</v>
      </c>
      <c r="H1288" t="s">
        <v>153</v>
      </c>
      <c r="I1288" t="s">
        <v>64</v>
      </c>
    </row>
    <row r="1289" spans="1:9">
      <c r="A1289" s="49">
        <v>45918</v>
      </c>
      <c r="B1289" s="50">
        <v>0.6492013888888889</v>
      </c>
      <c r="C1289" t="s">
        <v>167</v>
      </c>
      <c r="D1289" t="s">
        <v>31</v>
      </c>
      <c r="E1289" t="s">
        <v>32</v>
      </c>
      <c r="F1289" t="s">
        <v>168</v>
      </c>
      <c r="G1289">
        <v>3000</v>
      </c>
      <c r="H1289" t="s">
        <v>153</v>
      </c>
      <c r="I1289" t="s">
        <v>64</v>
      </c>
    </row>
    <row r="1290" spans="1:9">
      <c r="A1290" s="49">
        <v>45918</v>
      </c>
      <c r="B1290" s="50">
        <v>0.6491782407407407</v>
      </c>
      <c r="C1290" t="s">
        <v>150</v>
      </c>
      <c r="D1290" t="s">
        <v>35</v>
      </c>
      <c r="E1290" t="s">
        <v>169</v>
      </c>
      <c r="F1290" t="s">
        <v>170</v>
      </c>
      <c r="G1290">
        <v>-920</v>
      </c>
      <c r="H1290" t="s">
        <v>153</v>
      </c>
      <c r="I1290" t="s">
        <v>171</v>
      </c>
    </row>
    <row r="1291" spans="1:9">
      <c r="A1291" s="49">
        <v>45918</v>
      </c>
      <c r="B1291" s="50">
        <v>0.6469791666666667</v>
      </c>
      <c r="C1291" t="s">
        <v>150</v>
      </c>
      <c r="D1291" t="s">
        <v>35</v>
      </c>
      <c r="E1291" t="s">
        <v>169</v>
      </c>
      <c r="F1291" t="s">
        <v>170</v>
      </c>
      <c r="G1291">
        <v>3000</v>
      </c>
      <c r="H1291" t="s">
        <v>153</v>
      </c>
      <c r="I1291" t="s">
        <v>171</v>
      </c>
    </row>
    <row r="1292" spans="1:9">
      <c r="A1292" s="49">
        <v>45918</v>
      </c>
      <c r="B1292" s="50">
        <v>0.6469791666666667</v>
      </c>
      <c r="C1292" t="s">
        <v>150</v>
      </c>
      <c r="D1292" t="s">
        <v>40</v>
      </c>
      <c r="E1292" t="s">
        <v>172</v>
      </c>
      <c r="F1292" t="s">
        <v>173</v>
      </c>
      <c r="G1292">
        <v>-3000</v>
      </c>
      <c r="H1292" t="s">
        <v>153</v>
      </c>
      <c r="I1292" t="s">
        <v>64</v>
      </c>
    </row>
    <row r="1293" spans="1:9">
      <c r="A1293" s="49">
        <v>45918</v>
      </c>
      <c r="B1293" s="50">
        <v>0.4946875</v>
      </c>
      <c r="C1293" t="s">
        <v>150</v>
      </c>
      <c r="D1293" t="s">
        <v>40</v>
      </c>
      <c r="E1293" t="s">
        <v>172</v>
      </c>
      <c r="F1293" t="s">
        <v>676</v>
      </c>
      <c r="G1293">
        <v>-6000</v>
      </c>
      <c r="H1293" t="s">
        <v>153</v>
      </c>
      <c r="I1293" t="s">
        <v>214</v>
      </c>
    </row>
    <row r="1294" spans="1:9">
      <c r="A1294" s="49">
        <v>45917</v>
      </c>
      <c r="B1294" s="50">
        <v>0.898900462962963</v>
      </c>
      <c r="C1294" t="s">
        <v>150</v>
      </c>
      <c r="D1294" t="s">
        <v>42</v>
      </c>
      <c r="E1294" t="s">
        <v>151</v>
      </c>
      <c r="F1294" t="s">
        <v>152</v>
      </c>
      <c r="G1294">
        <v>-26900</v>
      </c>
      <c r="H1294" t="s">
        <v>153</v>
      </c>
      <c r="I1294" t="s">
        <v>64</v>
      </c>
    </row>
    <row r="1295" spans="1:9">
      <c r="A1295" s="49">
        <v>45917</v>
      </c>
      <c r="B1295" s="50">
        <v>0.6423842592592592</v>
      </c>
      <c r="C1295" t="s">
        <v>150</v>
      </c>
      <c r="D1295" t="s">
        <v>42</v>
      </c>
      <c r="E1295" t="s">
        <v>151</v>
      </c>
      <c r="F1295" t="s">
        <v>152</v>
      </c>
      <c r="G1295">
        <v>-27500</v>
      </c>
      <c r="H1295" t="s">
        <v>153</v>
      </c>
      <c r="I1295" t="s">
        <v>64</v>
      </c>
    </row>
    <row r="1296" spans="1:9">
      <c r="A1296" s="49">
        <v>45917</v>
      </c>
      <c r="B1296" s="50">
        <v>0.4921643518518519</v>
      </c>
      <c r="C1296" t="s">
        <v>167</v>
      </c>
      <c r="D1296" t="s">
        <v>28</v>
      </c>
      <c r="E1296" t="s">
        <v>32</v>
      </c>
      <c r="F1296" t="s">
        <v>535</v>
      </c>
      <c r="G1296">
        <v>50000</v>
      </c>
      <c r="H1296" t="s">
        <v>153</v>
      </c>
      <c r="I1296" t="s">
        <v>64</v>
      </c>
    </row>
    <row r="1297" spans="1:9">
      <c r="A1297" s="49">
        <v>45917</v>
      </c>
      <c r="B1297" s="50">
        <v>0.3549652777777778</v>
      </c>
      <c r="C1297" t="s">
        <v>155</v>
      </c>
      <c r="D1297" t="s">
        <v>155</v>
      </c>
      <c r="E1297" t="s">
        <v>32</v>
      </c>
      <c r="F1297" t="s">
        <v>156</v>
      </c>
      <c r="G1297">
        <v>3500</v>
      </c>
      <c r="H1297" t="s">
        <v>153</v>
      </c>
      <c r="I1297" t="s">
        <v>157</v>
      </c>
    </row>
    <row r="1298" spans="1:9">
      <c r="A1298" s="49">
        <v>45917</v>
      </c>
      <c r="B1298" s="50">
        <v>0.2174421296296296</v>
      </c>
      <c r="C1298" t="s">
        <v>150</v>
      </c>
      <c r="D1298" t="s">
        <v>40</v>
      </c>
      <c r="E1298" t="s">
        <v>380</v>
      </c>
      <c r="F1298" t="s">
        <v>381</v>
      </c>
      <c r="G1298">
        <v>-4100</v>
      </c>
      <c r="H1298" t="s">
        <v>153</v>
      </c>
      <c r="I1298" t="s">
        <v>164</v>
      </c>
    </row>
    <row r="1299" spans="1:9">
      <c r="A1299" s="49">
        <v>45916</v>
      </c>
      <c r="B1299" s="50">
        <v>0.7257291666666666</v>
      </c>
      <c r="C1299" t="s">
        <v>150</v>
      </c>
      <c r="D1299" t="s">
        <v>36</v>
      </c>
      <c r="E1299" t="s">
        <v>377</v>
      </c>
      <c r="F1299" t="s">
        <v>687</v>
      </c>
      <c r="G1299">
        <v>-3384500</v>
      </c>
      <c r="H1299" t="s">
        <v>153</v>
      </c>
      <c r="I1299" t="s">
        <v>64</v>
      </c>
    </row>
    <row r="1300" spans="1:9">
      <c r="A1300" s="49">
        <v>45916</v>
      </c>
      <c r="B1300" s="50">
        <v>0.6151041666666667</v>
      </c>
      <c r="C1300" t="s">
        <v>155</v>
      </c>
      <c r="D1300" t="s">
        <v>241</v>
      </c>
      <c r="E1300" t="s">
        <v>32</v>
      </c>
      <c r="F1300" t="s">
        <v>688</v>
      </c>
      <c r="G1300">
        <v>4835000</v>
      </c>
      <c r="H1300" t="s">
        <v>153</v>
      </c>
      <c r="I1300" t="s">
        <v>64</v>
      </c>
    </row>
    <row r="1301" spans="1:9">
      <c r="A1301" s="49">
        <v>45916</v>
      </c>
      <c r="B1301" s="50">
        <v>0.5609953703703704</v>
      </c>
      <c r="C1301" t="s">
        <v>150</v>
      </c>
      <c r="D1301" t="s">
        <v>40</v>
      </c>
      <c r="E1301" t="s">
        <v>172</v>
      </c>
      <c r="F1301" t="s">
        <v>379</v>
      </c>
      <c r="G1301">
        <v>-3000</v>
      </c>
      <c r="H1301" t="s">
        <v>153</v>
      </c>
      <c r="I1301" t="s">
        <v>214</v>
      </c>
    </row>
    <row r="1302" spans="1:9">
      <c r="A1302" s="49">
        <v>45916</v>
      </c>
      <c r="B1302" s="50">
        <v>0.5593055555555555</v>
      </c>
      <c r="C1302" t="s">
        <v>150</v>
      </c>
      <c r="D1302" t="s">
        <v>35</v>
      </c>
      <c r="E1302" t="s">
        <v>169</v>
      </c>
      <c r="F1302" t="s">
        <v>563</v>
      </c>
      <c r="G1302">
        <v>-1824</v>
      </c>
      <c r="H1302" t="s">
        <v>153</v>
      </c>
      <c r="I1302" t="s">
        <v>164</v>
      </c>
    </row>
    <row r="1303" spans="1:9">
      <c r="A1303" s="49">
        <v>45916</v>
      </c>
      <c r="B1303" s="50">
        <v>0.01228009259259259</v>
      </c>
      <c r="C1303" t="s">
        <v>155</v>
      </c>
      <c r="D1303" t="s">
        <v>158</v>
      </c>
      <c r="E1303" t="s">
        <v>32</v>
      </c>
      <c r="F1303" t="s">
        <v>159</v>
      </c>
      <c r="G1303">
        <v>1033800</v>
      </c>
      <c r="H1303" t="s">
        <v>153</v>
      </c>
      <c r="I1303" t="s">
        <v>157</v>
      </c>
    </row>
    <row r="1304" spans="1:9">
      <c r="A1304" s="49">
        <v>45916</v>
      </c>
      <c r="B1304" s="50">
        <v>0.01228009259259259</v>
      </c>
      <c r="C1304" t="s">
        <v>155</v>
      </c>
      <c r="D1304" t="s">
        <v>155</v>
      </c>
      <c r="E1304" t="s">
        <v>32</v>
      </c>
      <c r="F1304" t="s">
        <v>160</v>
      </c>
      <c r="G1304">
        <v>-2000000</v>
      </c>
      <c r="H1304" t="s">
        <v>153</v>
      </c>
      <c r="I1304" t="s">
        <v>64</v>
      </c>
    </row>
    <row r="1305" spans="1:9">
      <c r="A1305" s="49">
        <v>45916</v>
      </c>
      <c r="B1305" s="50">
        <v>0.01228009259259259</v>
      </c>
      <c r="C1305" t="s">
        <v>155</v>
      </c>
      <c r="D1305" t="s">
        <v>158</v>
      </c>
      <c r="E1305" t="s">
        <v>32</v>
      </c>
      <c r="F1305" t="s">
        <v>160</v>
      </c>
      <c r="G1305">
        <v>-1033800</v>
      </c>
      <c r="H1305" t="s">
        <v>153</v>
      </c>
      <c r="I1305" t="s">
        <v>64</v>
      </c>
    </row>
    <row r="1306" spans="1:9">
      <c r="A1306" s="49">
        <v>45916</v>
      </c>
      <c r="B1306" s="50">
        <v>0.01226851851851852</v>
      </c>
      <c r="C1306" t="s">
        <v>155</v>
      </c>
      <c r="D1306" t="s">
        <v>158</v>
      </c>
      <c r="E1306" t="s">
        <v>32</v>
      </c>
      <c r="F1306" t="s">
        <v>159</v>
      </c>
      <c r="G1306">
        <v>2000000</v>
      </c>
      <c r="H1306" t="s">
        <v>153</v>
      </c>
      <c r="I1306" t="s">
        <v>157</v>
      </c>
    </row>
    <row r="1307" spans="1:9">
      <c r="A1307" s="49">
        <v>45915</v>
      </c>
      <c r="B1307" s="50">
        <v>0.9394791666666666</v>
      </c>
      <c r="C1307" t="s">
        <v>155</v>
      </c>
      <c r="D1307" t="s">
        <v>158</v>
      </c>
      <c r="E1307" t="s">
        <v>32</v>
      </c>
      <c r="F1307" t="s">
        <v>7</v>
      </c>
      <c r="G1307">
        <v>-3000000</v>
      </c>
      <c r="H1307" t="s">
        <v>153</v>
      </c>
      <c r="I1307" t="s">
        <v>64</v>
      </c>
    </row>
    <row r="1308" spans="1:9">
      <c r="A1308" s="49">
        <v>45915</v>
      </c>
      <c r="B1308" s="50">
        <v>0.8104513888888889</v>
      </c>
      <c r="C1308" t="s">
        <v>155</v>
      </c>
      <c r="D1308" t="s">
        <v>155</v>
      </c>
      <c r="E1308" t="s">
        <v>32</v>
      </c>
      <c r="F1308" t="s">
        <v>156</v>
      </c>
      <c r="G1308">
        <v>7000</v>
      </c>
      <c r="H1308" t="s">
        <v>153</v>
      </c>
      <c r="I1308" t="s">
        <v>157</v>
      </c>
    </row>
    <row r="1309" spans="1:9">
      <c r="A1309" s="49">
        <v>45915</v>
      </c>
      <c r="B1309" s="50">
        <v>0.8092939814814815</v>
      </c>
      <c r="C1309" t="s">
        <v>150</v>
      </c>
      <c r="D1309" t="s">
        <v>40</v>
      </c>
      <c r="E1309" t="s">
        <v>380</v>
      </c>
      <c r="F1309" t="s">
        <v>381</v>
      </c>
      <c r="G1309">
        <v>-7000</v>
      </c>
      <c r="H1309" t="s">
        <v>153</v>
      </c>
      <c r="I1309" t="s">
        <v>164</v>
      </c>
    </row>
    <row r="1310" spans="1:9">
      <c r="A1310" s="49">
        <v>45915</v>
      </c>
      <c r="B1310" s="50">
        <v>0.7375</v>
      </c>
      <c r="C1310" t="s">
        <v>150</v>
      </c>
      <c r="D1310" t="s">
        <v>42</v>
      </c>
      <c r="E1310" t="s">
        <v>151</v>
      </c>
      <c r="F1310" t="s">
        <v>152</v>
      </c>
      <c r="G1310">
        <v>-32100</v>
      </c>
      <c r="H1310" t="s">
        <v>153</v>
      </c>
      <c r="I1310" t="s">
        <v>64</v>
      </c>
    </row>
    <row r="1311" spans="1:9">
      <c r="A1311" s="49">
        <v>45915</v>
      </c>
      <c r="B1311" s="50">
        <v>0.6467592592592593</v>
      </c>
      <c r="C1311" t="s">
        <v>150</v>
      </c>
      <c r="D1311" t="s">
        <v>35</v>
      </c>
      <c r="E1311" t="s">
        <v>169</v>
      </c>
      <c r="F1311" t="s">
        <v>563</v>
      </c>
      <c r="G1311">
        <v>-1653</v>
      </c>
      <c r="H1311" t="s">
        <v>153</v>
      </c>
      <c r="I1311" t="s">
        <v>164</v>
      </c>
    </row>
    <row r="1312" spans="1:9">
      <c r="A1312" s="49">
        <v>45914</v>
      </c>
      <c r="B1312" s="50">
        <v>0.9638888888888889</v>
      </c>
      <c r="C1312" t="s">
        <v>155</v>
      </c>
      <c r="D1312" t="s">
        <v>155</v>
      </c>
      <c r="E1312" t="s">
        <v>32</v>
      </c>
      <c r="F1312" t="s">
        <v>689</v>
      </c>
      <c r="G1312">
        <v>499000</v>
      </c>
      <c r="H1312" t="s">
        <v>153</v>
      </c>
      <c r="I1312" t="s">
        <v>64</v>
      </c>
    </row>
    <row r="1313" spans="1:9">
      <c r="A1313" s="49">
        <v>45914</v>
      </c>
      <c r="B1313" s="50">
        <v>0.9366782407407407</v>
      </c>
      <c r="C1313" t="s">
        <v>150</v>
      </c>
      <c r="D1313" t="s">
        <v>40</v>
      </c>
      <c r="E1313" t="s">
        <v>172</v>
      </c>
      <c r="F1313" t="s">
        <v>379</v>
      </c>
      <c r="G1313">
        <v>-2800</v>
      </c>
      <c r="H1313" t="s">
        <v>153</v>
      </c>
      <c r="I1313" t="s">
        <v>214</v>
      </c>
    </row>
    <row r="1314" spans="1:9">
      <c r="A1314" s="49">
        <v>45914</v>
      </c>
      <c r="B1314" s="50">
        <v>0.9364814814814815</v>
      </c>
      <c r="C1314" t="s">
        <v>150</v>
      </c>
      <c r="D1314" t="s">
        <v>40</v>
      </c>
      <c r="E1314" t="s">
        <v>172</v>
      </c>
      <c r="F1314" t="s">
        <v>379</v>
      </c>
      <c r="G1314">
        <v>-3600</v>
      </c>
      <c r="H1314" t="s">
        <v>153</v>
      </c>
      <c r="I1314" t="s">
        <v>214</v>
      </c>
    </row>
    <row r="1315" spans="1:9">
      <c r="A1315" s="49">
        <v>45914</v>
      </c>
      <c r="B1315" s="50">
        <v>0.6380787037037037</v>
      </c>
      <c r="C1315" t="s">
        <v>155</v>
      </c>
      <c r="D1315" t="s">
        <v>155</v>
      </c>
      <c r="E1315" t="s">
        <v>32</v>
      </c>
      <c r="F1315" t="s">
        <v>156</v>
      </c>
      <c r="G1315">
        <v>55000</v>
      </c>
      <c r="H1315" t="s">
        <v>153</v>
      </c>
      <c r="I1315" t="s">
        <v>157</v>
      </c>
    </row>
    <row r="1316" spans="1:9">
      <c r="A1316" s="49">
        <v>45914</v>
      </c>
      <c r="B1316" s="50">
        <v>0.6335416666666667</v>
      </c>
      <c r="C1316" t="s">
        <v>155</v>
      </c>
      <c r="D1316" t="s">
        <v>155</v>
      </c>
      <c r="E1316" t="s">
        <v>32</v>
      </c>
      <c r="F1316" t="s">
        <v>156</v>
      </c>
      <c r="G1316">
        <v>43600</v>
      </c>
      <c r="H1316" t="s">
        <v>153</v>
      </c>
      <c r="I1316" t="s">
        <v>157</v>
      </c>
    </row>
    <row r="1317" spans="1:9">
      <c r="A1317" s="49">
        <v>45914</v>
      </c>
      <c r="B1317" s="50">
        <v>0.3955671296296296</v>
      </c>
      <c r="C1317" t="s">
        <v>150</v>
      </c>
      <c r="D1317" t="s">
        <v>44</v>
      </c>
      <c r="E1317" t="s">
        <v>162</v>
      </c>
      <c r="F1317" t="s">
        <v>163</v>
      </c>
      <c r="G1317">
        <v>-3900</v>
      </c>
      <c r="H1317" t="s">
        <v>153</v>
      </c>
      <c r="I1317" t="s">
        <v>164</v>
      </c>
    </row>
    <row r="1318" spans="1:9">
      <c r="A1318" s="49">
        <v>45914</v>
      </c>
      <c r="B1318" s="50">
        <v>0.0131712962962963</v>
      </c>
      <c r="C1318" t="s">
        <v>150</v>
      </c>
      <c r="D1318" t="s">
        <v>42</v>
      </c>
      <c r="E1318" t="s">
        <v>151</v>
      </c>
      <c r="F1318" t="s">
        <v>152</v>
      </c>
      <c r="G1318">
        <v>-15000</v>
      </c>
      <c r="H1318" t="s">
        <v>153</v>
      </c>
      <c r="I1318" t="s">
        <v>64</v>
      </c>
    </row>
    <row r="1319" spans="1:9">
      <c r="A1319" s="49">
        <v>45913</v>
      </c>
      <c r="B1319" s="50">
        <v>0.7580555555555556</v>
      </c>
      <c r="C1319" t="s">
        <v>150</v>
      </c>
      <c r="D1319" t="s">
        <v>37</v>
      </c>
      <c r="E1319" t="s">
        <v>438</v>
      </c>
      <c r="F1319" t="s">
        <v>510</v>
      </c>
      <c r="G1319">
        <v>-7000</v>
      </c>
      <c r="H1319" t="s">
        <v>153</v>
      </c>
      <c r="I1319" t="s">
        <v>214</v>
      </c>
    </row>
    <row r="1320" spans="1:9">
      <c r="A1320" s="49">
        <v>45913</v>
      </c>
      <c r="B1320" s="50">
        <v>0.7428703703703704</v>
      </c>
      <c r="C1320" t="s">
        <v>150</v>
      </c>
      <c r="D1320" t="s">
        <v>35</v>
      </c>
      <c r="E1320" t="s">
        <v>174</v>
      </c>
      <c r="F1320" t="s">
        <v>314</v>
      </c>
      <c r="G1320">
        <v>-10000</v>
      </c>
      <c r="H1320" t="s">
        <v>153</v>
      </c>
      <c r="I1320" t="s">
        <v>64</v>
      </c>
    </row>
    <row r="1321" spans="1:9">
      <c r="A1321" s="49">
        <v>45913</v>
      </c>
      <c r="B1321" s="50">
        <v>0.6132060185185185</v>
      </c>
      <c r="C1321" t="s">
        <v>167</v>
      </c>
      <c r="D1321" t="s">
        <v>28</v>
      </c>
      <c r="E1321" t="s">
        <v>32</v>
      </c>
      <c r="F1321" t="s">
        <v>535</v>
      </c>
      <c r="G1321">
        <v>50000</v>
      </c>
      <c r="H1321" t="s">
        <v>153</v>
      </c>
      <c r="I1321" t="s">
        <v>64</v>
      </c>
    </row>
    <row r="1322" spans="1:9">
      <c r="A1322" s="49">
        <v>45913</v>
      </c>
      <c r="B1322" s="50">
        <v>0.6129282407407407</v>
      </c>
      <c r="C1322" t="s">
        <v>167</v>
      </c>
      <c r="D1322" t="s">
        <v>28</v>
      </c>
      <c r="E1322" t="s">
        <v>32</v>
      </c>
      <c r="F1322" t="s">
        <v>535</v>
      </c>
      <c r="G1322">
        <v>50000</v>
      </c>
      <c r="H1322" t="s">
        <v>153</v>
      </c>
      <c r="I1322" t="s">
        <v>64</v>
      </c>
    </row>
    <row r="1323" spans="1:9">
      <c r="A1323" s="49">
        <v>45913</v>
      </c>
      <c r="B1323" s="50">
        <v>0.4078935185185185</v>
      </c>
      <c r="C1323" t="s">
        <v>155</v>
      </c>
      <c r="D1323" t="s">
        <v>155</v>
      </c>
      <c r="E1323" t="s">
        <v>32</v>
      </c>
      <c r="F1323" t="s">
        <v>548</v>
      </c>
      <c r="G1323">
        <v>349000</v>
      </c>
      <c r="H1323" t="s">
        <v>153</v>
      </c>
      <c r="I1323" t="s">
        <v>64</v>
      </c>
    </row>
    <row r="1324" spans="1:9">
      <c r="A1324" s="49">
        <v>45913</v>
      </c>
      <c r="B1324" s="50">
        <v>0.02086805555555556</v>
      </c>
      <c r="C1324" t="s">
        <v>155</v>
      </c>
      <c r="D1324" t="s">
        <v>155</v>
      </c>
      <c r="E1324" t="s">
        <v>32</v>
      </c>
      <c r="F1324" t="s">
        <v>690</v>
      </c>
      <c r="G1324">
        <v>240000</v>
      </c>
      <c r="H1324" t="s">
        <v>153</v>
      </c>
      <c r="I1324" t="s">
        <v>64</v>
      </c>
    </row>
    <row r="1325" spans="1:9">
      <c r="A1325" s="49">
        <v>45912</v>
      </c>
      <c r="B1325" s="50">
        <v>0.9382407407407407</v>
      </c>
      <c r="C1325" t="s">
        <v>150</v>
      </c>
      <c r="D1325" t="s">
        <v>42</v>
      </c>
      <c r="E1325" t="s">
        <v>212</v>
      </c>
      <c r="F1325" t="s">
        <v>213</v>
      </c>
      <c r="G1325">
        <v>-148500</v>
      </c>
      <c r="H1325" t="s">
        <v>153</v>
      </c>
      <c r="I1325" t="s">
        <v>214</v>
      </c>
    </row>
    <row r="1326" spans="1:9">
      <c r="A1326" s="49">
        <v>45912</v>
      </c>
      <c r="B1326" s="50">
        <v>0.872800925925926</v>
      </c>
      <c r="C1326" t="s">
        <v>150</v>
      </c>
      <c r="D1326" t="s">
        <v>44</v>
      </c>
      <c r="E1326" t="s">
        <v>225</v>
      </c>
      <c r="F1326" t="s">
        <v>228</v>
      </c>
      <c r="G1326">
        <v>-15071</v>
      </c>
      <c r="H1326" t="s">
        <v>153</v>
      </c>
      <c r="I1326" t="s">
        <v>214</v>
      </c>
    </row>
    <row r="1327" spans="1:9">
      <c r="A1327" s="49">
        <v>45912</v>
      </c>
      <c r="B1327" s="50">
        <v>0.8080092592592593</v>
      </c>
      <c r="C1327" t="s">
        <v>150</v>
      </c>
      <c r="D1327" t="s">
        <v>35</v>
      </c>
      <c r="E1327" t="s">
        <v>174</v>
      </c>
      <c r="F1327" t="s">
        <v>314</v>
      </c>
      <c r="G1327">
        <v>-10000</v>
      </c>
      <c r="H1327" t="s">
        <v>153</v>
      </c>
      <c r="I1327" t="s">
        <v>64</v>
      </c>
    </row>
    <row r="1328" spans="1:9">
      <c r="A1328" s="49">
        <v>45912</v>
      </c>
      <c r="B1328" s="50">
        <v>0.7964583333333334</v>
      </c>
      <c r="C1328" t="s">
        <v>150</v>
      </c>
      <c r="D1328" t="s">
        <v>40</v>
      </c>
      <c r="E1328" t="s">
        <v>223</v>
      </c>
      <c r="F1328" t="s">
        <v>691</v>
      </c>
      <c r="G1328">
        <v>-3300</v>
      </c>
      <c r="H1328" t="s">
        <v>153</v>
      </c>
      <c r="I1328" t="s">
        <v>214</v>
      </c>
    </row>
    <row r="1329" spans="1:9">
      <c r="A1329" s="49">
        <v>45912</v>
      </c>
      <c r="B1329" s="50">
        <v>0.7760648148148148</v>
      </c>
      <c r="C1329" t="s">
        <v>150</v>
      </c>
      <c r="D1329" t="s">
        <v>35</v>
      </c>
      <c r="E1329" t="s">
        <v>174</v>
      </c>
      <c r="F1329" t="s">
        <v>314</v>
      </c>
      <c r="G1329">
        <v>-10000</v>
      </c>
      <c r="H1329" t="s">
        <v>153</v>
      </c>
      <c r="I1329" t="s">
        <v>64</v>
      </c>
    </row>
    <row r="1330" spans="1:9">
      <c r="A1330" s="49">
        <v>45912</v>
      </c>
      <c r="B1330" s="50">
        <v>0.5979861111111111</v>
      </c>
      <c r="C1330" t="s">
        <v>150</v>
      </c>
      <c r="D1330" t="s">
        <v>47</v>
      </c>
      <c r="E1330" t="s">
        <v>292</v>
      </c>
      <c r="F1330" t="s">
        <v>692</v>
      </c>
      <c r="G1330">
        <v>-8800</v>
      </c>
      <c r="H1330" t="s">
        <v>153</v>
      </c>
      <c r="I1330" t="s">
        <v>164</v>
      </c>
    </row>
    <row r="1331" spans="1:9">
      <c r="A1331" s="49">
        <v>45912</v>
      </c>
      <c r="B1331" s="50">
        <v>0.5979629629629629</v>
      </c>
      <c r="C1331" t="s">
        <v>155</v>
      </c>
      <c r="D1331" t="s">
        <v>155</v>
      </c>
      <c r="E1331" t="s">
        <v>32</v>
      </c>
      <c r="F1331" t="s">
        <v>160</v>
      </c>
      <c r="G1331">
        <v>-10000</v>
      </c>
      <c r="H1331" t="s">
        <v>153</v>
      </c>
      <c r="I1331" t="s">
        <v>64</v>
      </c>
    </row>
    <row r="1332" spans="1:9">
      <c r="A1332" s="49">
        <v>45912</v>
      </c>
      <c r="B1332" s="50">
        <v>0.572488425925926</v>
      </c>
      <c r="C1332" t="s">
        <v>150</v>
      </c>
      <c r="D1332" t="s">
        <v>40</v>
      </c>
      <c r="E1332" t="s">
        <v>172</v>
      </c>
      <c r="F1332" t="s">
        <v>379</v>
      </c>
      <c r="G1332">
        <v>-7700</v>
      </c>
      <c r="H1332" t="s">
        <v>153</v>
      </c>
      <c r="I1332" t="s">
        <v>214</v>
      </c>
    </row>
    <row r="1333" spans="1:9">
      <c r="A1333" s="49">
        <v>45912</v>
      </c>
      <c r="B1333" s="50">
        <v>0.5696412037037037</v>
      </c>
      <c r="C1333" t="s">
        <v>150</v>
      </c>
      <c r="D1333" t="s">
        <v>35</v>
      </c>
      <c r="E1333" t="s">
        <v>169</v>
      </c>
      <c r="F1333" t="s">
        <v>563</v>
      </c>
      <c r="G1333">
        <v>-3363</v>
      </c>
      <c r="H1333" t="s">
        <v>153</v>
      </c>
      <c r="I1333" t="s">
        <v>164</v>
      </c>
    </row>
    <row r="1334" spans="1:9">
      <c r="A1334" s="49">
        <v>45912</v>
      </c>
      <c r="B1334" s="50">
        <v>0.5174305555555555</v>
      </c>
      <c r="C1334" t="s">
        <v>155</v>
      </c>
      <c r="D1334" t="s">
        <v>155</v>
      </c>
      <c r="E1334" t="s">
        <v>32</v>
      </c>
      <c r="F1334" t="s">
        <v>693</v>
      </c>
      <c r="G1334">
        <v>-650000</v>
      </c>
      <c r="H1334" t="s">
        <v>153</v>
      </c>
      <c r="I1334" t="s">
        <v>64</v>
      </c>
    </row>
    <row r="1335" spans="1:9">
      <c r="A1335" s="49">
        <v>45912</v>
      </c>
      <c r="B1335" s="50">
        <v>0.3752314814814815</v>
      </c>
      <c r="C1335" t="s">
        <v>150</v>
      </c>
      <c r="D1335" t="s">
        <v>34</v>
      </c>
      <c r="E1335" t="s">
        <v>322</v>
      </c>
      <c r="F1335" t="s">
        <v>323</v>
      </c>
      <c r="G1335">
        <v>-109890</v>
      </c>
      <c r="H1335" t="s">
        <v>153</v>
      </c>
      <c r="I1335" t="s">
        <v>214</v>
      </c>
    </row>
    <row r="1336" spans="1:9">
      <c r="A1336" s="49">
        <v>45912</v>
      </c>
      <c r="B1336" s="50">
        <v>0.01804398148148148</v>
      </c>
      <c r="C1336" t="s">
        <v>155</v>
      </c>
      <c r="D1336" t="s">
        <v>229</v>
      </c>
      <c r="E1336" t="s">
        <v>32</v>
      </c>
      <c r="F1336" t="s">
        <v>694</v>
      </c>
      <c r="G1336">
        <v>250000</v>
      </c>
      <c r="H1336" t="s">
        <v>153</v>
      </c>
      <c r="I1336" t="s">
        <v>64</v>
      </c>
    </row>
    <row r="1337" spans="1:9">
      <c r="A1337" s="49">
        <v>45911</v>
      </c>
      <c r="B1337" s="50">
        <v>0.03199074074074074</v>
      </c>
      <c r="C1337" t="s">
        <v>155</v>
      </c>
      <c r="D1337" t="s">
        <v>155</v>
      </c>
      <c r="E1337" t="s">
        <v>32</v>
      </c>
      <c r="F1337" t="s">
        <v>653</v>
      </c>
      <c r="G1337">
        <v>390000</v>
      </c>
      <c r="H1337" t="s">
        <v>153</v>
      </c>
      <c r="I1337" t="s">
        <v>64</v>
      </c>
    </row>
    <row r="1338" spans="1:9">
      <c r="A1338" s="49">
        <v>45910</v>
      </c>
      <c r="B1338" s="50">
        <v>0.9528356481481481</v>
      </c>
      <c r="C1338" t="s">
        <v>150</v>
      </c>
      <c r="D1338" t="s">
        <v>42</v>
      </c>
      <c r="E1338" t="s">
        <v>151</v>
      </c>
      <c r="F1338" t="s">
        <v>152</v>
      </c>
      <c r="G1338">
        <v>-15000</v>
      </c>
      <c r="H1338" t="s">
        <v>153</v>
      </c>
      <c r="I1338" t="s">
        <v>64</v>
      </c>
    </row>
    <row r="1339" spans="1:9">
      <c r="A1339" s="49">
        <v>45910</v>
      </c>
      <c r="B1339" s="50">
        <v>0.9287731481481482</v>
      </c>
      <c r="C1339" t="s">
        <v>155</v>
      </c>
      <c r="D1339" t="s">
        <v>155</v>
      </c>
      <c r="E1339" t="s">
        <v>32</v>
      </c>
      <c r="F1339" t="s">
        <v>235</v>
      </c>
      <c r="G1339">
        <v>10272620</v>
      </c>
      <c r="H1339" t="s">
        <v>153</v>
      </c>
      <c r="I1339" t="s">
        <v>64</v>
      </c>
    </row>
    <row r="1340" spans="1:9">
      <c r="A1340" s="49">
        <v>45910</v>
      </c>
      <c r="B1340" s="50">
        <v>0.7709722222222222</v>
      </c>
      <c r="C1340" t="s">
        <v>155</v>
      </c>
      <c r="D1340" t="s">
        <v>70</v>
      </c>
      <c r="E1340" t="s">
        <v>32</v>
      </c>
      <c r="F1340" t="s">
        <v>238</v>
      </c>
      <c r="G1340">
        <v>-27800</v>
      </c>
      <c r="H1340" t="s">
        <v>153</v>
      </c>
      <c r="I1340" t="s">
        <v>64</v>
      </c>
    </row>
    <row r="1341" spans="1:9">
      <c r="A1341" s="49">
        <v>45910</v>
      </c>
      <c r="B1341" s="50">
        <v>0.7481712962962963</v>
      </c>
      <c r="C1341" t="s">
        <v>150</v>
      </c>
      <c r="D1341" t="s">
        <v>42</v>
      </c>
      <c r="E1341" t="s">
        <v>151</v>
      </c>
      <c r="F1341" t="s">
        <v>152</v>
      </c>
      <c r="G1341">
        <v>-29700</v>
      </c>
      <c r="H1341" t="s">
        <v>153</v>
      </c>
      <c r="I1341" t="s">
        <v>64</v>
      </c>
    </row>
    <row r="1342" spans="1:9">
      <c r="A1342" s="49">
        <v>45910</v>
      </c>
      <c r="B1342" s="50">
        <v>0.6982638888888889</v>
      </c>
      <c r="C1342" t="s">
        <v>150</v>
      </c>
      <c r="D1342" t="s">
        <v>36</v>
      </c>
      <c r="E1342" t="s">
        <v>695</v>
      </c>
      <c r="F1342" t="s">
        <v>696</v>
      </c>
      <c r="G1342">
        <v>-60000</v>
      </c>
      <c r="H1342" t="s">
        <v>153</v>
      </c>
      <c r="I1342" t="s">
        <v>64</v>
      </c>
    </row>
    <row r="1343" spans="1:9">
      <c r="A1343" s="49">
        <v>45910</v>
      </c>
      <c r="B1343" s="50">
        <v>0.682974537037037</v>
      </c>
      <c r="C1343" t="s">
        <v>155</v>
      </c>
      <c r="D1343" t="s">
        <v>155</v>
      </c>
      <c r="E1343" t="s">
        <v>32</v>
      </c>
      <c r="F1343" t="s">
        <v>246</v>
      </c>
      <c r="G1343">
        <v>-5820</v>
      </c>
      <c r="H1343" t="s">
        <v>153</v>
      </c>
      <c r="I1343" t="s">
        <v>64</v>
      </c>
    </row>
    <row r="1344" spans="1:9">
      <c r="A1344" s="49">
        <v>45910</v>
      </c>
      <c r="B1344" s="50">
        <v>0.6815856481481481</v>
      </c>
      <c r="C1344" t="s">
        <v>155</v>
      </c>
      <c r="D1344" t="s">
        <v>155</v>
      </c>
      <c r="E1344" t="s">
        <v>32</v>
      </c>
      <c r="F1344" t="s">
        <v>246</v>
      </c>
      <c r="G1344">
        <v>-7900</v>
      </c>
      <c r="H1344" t="s">
        <v>153</v>
      </c>
      <c r="I1344" t="s">
        <v>64</v>
      </c>
    </row>
    <row r="1345" spans="1:9">
      <c r="A1345" s="49">
        <v>45910</v>
      </c>
      <c r="B1345" s="50">
        <v>0.6364236111111111</v>
      </c>
      <c r="C1345" t="s">
        <v>150</v>
      </c>
      <c r="D1345" t="s">
        <v>35</v>
      </c>
      <c r="E1345" t="s">
        <v>169</v>
      </c>
      <c r="F1345" t="s">
        <v>563</v>
      </c>
      <c r="G1345">
        <v>-1653</v>
      </c>
      <c r="H1345" t="s">
        <v>153</v>
      </c>
      <c r="I1345" t="s">
        <v>164</v>
      </c>
    </row>
    <row r="1346" spans="1:9">
      <c r="A1346" s="49">
        <v>45910</v>
      </c>
      <c r="B1346" s="50">
        <v>0.6364236111111111</v>
      </c>
      <c r="C1346" t="s">
        <v>155</v>
      </c>
      <c r="D1346" t="s">
        <v>158</v>
      </c>
      <c r="E1346" t="s">
        <v>32</v>
      </c>
      <c r="F1346" t="s">
        <v>159</v>
      </c>
      <c r="G1346">
        <v>10000</v>
      </c>
      <c r="H1346" t="s">
        <v>153</v>
      </c>
      <c r="I1346" t="s">
        <v>157</v>
      </c>
    </row>
    <row r="1347" spans="1:9">
      <c r="A1347" s="49">
        <v>45910</v>
      </c>
      <c r="B1347" s="50">
        <v>0.6364236111111111</v>
      </c>
      <c r="C1347" t="s">
        <v>155</v>
      </c>
      <c r="D1347" t="s">
        <v>158</v>
      </c>
      <c r="E1347" t="s">
        <v>32</v>
      </c>
      <c r="F1347" t="s">
        <v>160</v>
      </c>
      <c r="G1347">
        <v>-10000</v>
      </c>
      <c r="H1347" t="s">
        <v>153</v>
      </c>
      <c r="I1347" t="s">
        <v>64</v>
      </c>
    </row>
    <row r="1348" spans="1:9">
      <c r="A1348" s="49">
        <v>45910</v>
      </c>
      <c r="B1348" s="50">
        <v>0.4944328703703704</v>
      </c>
      <c r="C1348" t="s">
        <v>167</v>
      </c>
      <c r="D1348" t="s">
        <v>28</v>
      </c>
      <c r="E1348" t="s">
        <v>32</v>
      </c>
      <c r="F1348" t="s">
        <v>243</v>
      </c>
      <c r="G1348">
        <v>3469</v>
      </c>
      <c r="H1348" t="s">
        <v>153</v>
      </c>
      <c r="I1348" t="s">
        <v>64</v>
      </c>
    </row>
    <row r="1349" spans="1:9">
      <c r="A1349" s="49">
        <v>45909</v>
      </c>
      <c r="B1349" s="50">
        <v>0.8423958333333333</v>
      </c>
      <c r="C1349" t="s">
        <v>150</v>
      </c>
      <c r="D1349" t="s">
        <v>37</v>
      </c>
      <c r="E1349" t="s">
        <v>438</v>
      </c>
      <c r="F1349" t="s">
        <v>510</v>
      </c>
      <c r="G1349">
        <v>-6000</v>
      </c>
      <c r="H1349" t="s">
        <v>153</v>
      </c>
      <c r="I1349" t="s">
        <v>214</v>
      </c>
    </row>
    <row r="1350" spans="1:9">
      <c r="A1350" s="49">
        <v>45909</v>
      </c>
      <c r="B1350" s="50">
        <v>0.8416319444444444</v>
      </c>
      <c r="C1350" t="s">
        <v>150</v>
      </c>
      <c r="D1350" t="s">
        <v>37</v>
      </c>
      <c r="E1350" t="s">
        <v>438</v>
      </c>
      <c r="F1350" t="s">
        <v>510</v>
      </c>
      <c r="G1350">
        <v>-6000</v>
      </c>
      <c r="H1350" t="s">
        <v>153</v>
      </c>
      <c r="I1350" t="s">
        <v>214</v>
      </c>
    </row>
    <row r="1351" spans="1:9">
      <c r="A1351" s="49">
        <v>45909</v>
      </c>
      <c r="B1351" s="50">
        <v>0.7771875</v>
      </c>
      <c r="C1351" t="s">
        <v>150</v>
      </c>
      <c r="D1351" t="s">
        <v>42</v>
      </c>
      <c r="E1351" t="s">
        <v>151</v>
      </c>
      <c r="F1351" t="s">
        <v>152</v>
      </c>
      <c r="G1351">
        <v>-29500</v>
      </c>
      <c r="H1351" t="s">
        <v>153</v>
      </c>
      <c r="I1351" t="s">
        <v>64</v>
      </c>
    </row>
    <row r="1352" spans="1:9">
      <c r="A1352" s="49">
        <v>45909</v>
      </c>
      <c r="B1352" s="50">
        <v>0.6928935185185185</v>
      </c>
      <c r="C1352" t="s">
        <v>150</v>
      </c>
      <c r="D1352" t="s">
        <v>40</v>
      </c>
      <c r="E1352" t="s">
        <v>172</v>
      </c>
      <c r="F1352" t="s">
        <v>697</v>
      </c>
      <c r="G1352">
        <v>-4000</v>
      </c>
      <c r="H1352" t="s">
        <v>153</v>
      </c>
      <c r="I1352" t="s">
        <v>214</v>
      </c>
    </row>
    <row r="1353" spans="1:9">
      <c r="A1353" s="49">
        <v>45909</v>
      </c>
      <c r="B1353" s="50">
        <v>0.5276851851851851</v>
      </c>
      <c r="C1353" t="s">
        <v>150</v>
      </c>
      <c r="D1353" t="s">
        <v>42</v>
      </c>
      <c r="E1353" t="s">
        <v>374</v>
      </c>
      <c r="F1353" t="s">
        <v>375</v>
      </c>
      <c r="G1353">
        <v>-40000</v>
      </c>
      <c r="H1353" t="s">
        <v>153</v>
      </c>
      <c r="I1353" t="s">
        <v>214</v>
      </c>
    </row>
    <row r="1354" spans="1:9">
      <c r="A1354" s="49">
        <v>45909</v>
      </c>
      <c r="B1354" s="50">
        <v>0.3469444444444444</v>
      </c>
      <c r="C1354" t="s">
        <v>150</v>
      </c>
      <c r="D1354" t="s">
        <v>42</v>
      </c>
      <c r="E1354" t="s">
        <v>374</v>
      </c>
      <c r="F1354" t="s">
        <v>375</v>
      </c>
      <c r="G1354">
        <v>-4300</v>
      </c>
      <c r="H1354" t="s">
        <v>153</v>
      </c>
      <c r="I1354" t="s">
        <v>214</v>
      </c>
    </row>
    <row r="1355" spans="1:9">
      <c r="A1355" s="49">
        <v>45908</v>
      </c>
      <c r="B1355" s="50">
        <v>0.7875462962962962</v>
      </c>
      <c r="C1355" t="s">
        <v>150</v>
      </c>
      <c r="D1355" t="s">
        <v>49</v>
      </c>
      <c r="E1355" t="s">
        <v>304</v>
      </c>
      <c r="F1355" t="s">
        <v>654</v>
      </c>
      <c r="G1355">
        <v>-25610</v>
      </c>
      <c r="H1355" t="s">
        <v>153</v>
      </c>
      <c r="I1355" t="s">
        <v>164</v>
      </c>
    </row>
    <row r="1356" spans="1:9">
      <c r="A1356" s="49">
        <v>45908</v>
      </c>
      <c r="B1356" s="50">
        <v>0.7875115740740741</v>
      </c>
      <c r="C1356" t="s">
        <v>155</v>
      </c>
      <c r="D1356" t="s">
        <v>155</v>
      </c>
      <c r="E1356" t="s">
        <v>32</v>
      </c>
      <c r="F1356" t="s">
        <v>160</v>
      </c>
      <c r="G1356">
        <v>-15902</v>
      </c>
      <c r="H1356" t="s">
        <v>153</v>
      </c>
      <c r="I1356" t="s">
        <v>64</v>
      </c>
    </row>
    <row r="1357" spans="1:9">
      <c r="A1357" s="49">
        <v>45908</v>
      </c>
      <c r="B1357" s="50">
        <v>0.7840277777777778</v>
      </c>
      <c r="C1357" t="s">
        <v>150</v>
      </c>
      <c r="D1357" t="s">
        <v>44</v>
      </c>
      <c r="E1357" t="s">
        <v>260</v>
      </c>
      <c r="F1357" t="s">
        <v>261</v>
      </c>
      <c r="G1357">
        <v>-40000</v>
      </c>
      <c r="H1357" t="s">
        <v>153</v>
      </c>
      <c r="I1357" t="s">
        <v>64</v>
      </c>
    </row>
    <row r="1358" spans="1:9">
      <c r="A1358" s="49">
        <v>45908</v>
      </c>
      <c r="B1358" s="50">
        <v>0.6847453703703704</v>
      </c>
      <c r="C1358" t="s">
        <v>155</v>
      </c>
      <c r="D1358" t="s">
        <v>155</v>
      </c>
      <c r="E1358" t="s">
        <v>32</v>
      </c>
      <c r="F1358" t="s">
        <v>698</v>
      </c>
      <c r="G1358">
        <v>349000</v>
      </c>
      <c r="H1358" t="s">
        <v>153</v>
      </c>
      <c r="I1358" t="s">
        <v>64</v>
      </c>
    </row>
    <row r="1359" spans="1:9">
      <c r="A1359" s="49">
        <v>45908</v>
      </c>
      <c r="B1359" s="50">
        <v>0.5465046296296296</v>
      </c>
      <c r="C1359" t="s">
        <v>155</v>
      </c>
      <c r="D1359" t="s">
        <v>155</v>
      </c>
      <c r="E1359" t="s">
        <v>32</v>
      </c>
      <c r="F1359" t="s">
        <v>699</v>
      </c>
      <c r="G1359">
        <v>499000</v>
      </c>
      <c r="H1359" t="s">
        <v>153</v>
      </c>
      <c r="I1359" t="s">
        <v>64</v>
      </c>
    </row>
    <row r="1360" spans="1:9">
      <c r="A1360" s="49">
        <v>45908</v>
      </c>
      <c r="B1360" s="50">
        <v>0.3751157407407407</v>
      </c>
      <c r="C1360" t="s">
        <v>150</v>
      </c>
      <c r="D1360" t="s">
        <v>40</v>
      </c>
      <c r="E1360" t="s">
        <v>172</v>
      </c>
      <c r="F1360" t="s">
        <v>509</v>
      </c>
      <c r="G1360">
        <v>-5200</v>
      </c>
      <c r="H1360" t="s">
        <v>153</v>
      </c>
      <c r="I1360" t="s">
        <v>214</v>
      </c>
    </row>
    <row r="1361" spans="1:9">
      <c r="A1361" s="49">
        <v>45908</v>
      </c>
      <c r="B1361" s="50">
        <v>0.3545717592592593</v>
      </c>
      <c r="C1361" t="s">
        <v>150</v>
      </c>
      <c r="D1361" t="s">
        <v>44</v>
      </c>
      <c r="E1361" t="s">
        <v>260</v>
      </c>
      <c r="F1361" t="s">
        <v>261</v>
      </c>
      <c r="G1361">
        <v>-20000</v>
      </c>
      <c r="H1361" t="s">
        <v>153</v>
      </c>
      <c r="I1361" t="s">
        <v>64</v>
      </c>
    </row>
    <row r="1362" spans="1:9">
      <c r="A1362" s="49">
        <v>45908</v>
      </c>
      <c r="B1362" s="50">
        <v>0.3121296296296296</v>
      </c>
      <c r="C1362" t="s">
        <v>150</v>
      </c>
      <c r="D1362" t="s">
        <v>40</v>
      </c>
      <c r="E1362" t="s">
        <v>172</v>
      </c>
      <c r="F1362" t="s">
        <v>379</v>
      </c>
      <c r="G1362">
        <v>-2300</v>
      </c>
      <c r="H1362" t="s">
        <v>153</v>
      </c>
      <c r="I1362" t="s">
        <v>214</v>
      </c>
    </row>
    <row r="1363" spans="1:9">
      <c r="A1363" s="49">
        <v>45907</v>
      </c>
      <c r="B1363" s="50">
        <v>0.7714814814814814</v>
      </c>
      <c r="C1363" t="s">
        <v>150</v>
      </c>
      <c r="D1363" t="s">
        <v>44</v>
      </c>
      <c r="E1363" t="s">
        <v>225</v>
      </c>
      <c r="F1363" t="s">
        <v>642</v>
      </c>
      <c r="G1363">
        <v>-13663</v>
      </c>
      <c r="H1363" t="s">
        <v>153</v>
      </c>
      <c r="I1363" t="s">
        <v>214</v>
      </c>
    </row>
    <row r="1364" spans="1:9">
      <c r="A1364" s="49">
        <v>45907</v>
      </c>
      <c r="B1364" s="50">
        <v>0.4366319444444444</v>
      </c>
      <c r="C1364" t="s">
        <v>150</v>
      </c>
      <c r="D1364" t="s">
        <v>49</v>
      </c>
      <c r="E1364" t="s">
        <v>304</v>
      </c>
      <c r="F1364" t="s">
        <v>700</v>
      </c>
      <c r="G1364">
        <v>-207785</v>
      </c>
      <c r="H1364" t="s">
        <v>153</v>
      </c>
      <c r="I1364" t="s">
        <v>214</v>
      </c>
    </row>
    <row r="1365" spans="1:9">
      <c r="A1365" s="49">
        <v>45906</v>
      </c>
      <c r="B1365" s="50">
        <v>0.9678819444444444</v>
      </c>
      <c r="C1365" t="s">
        <v>150</v>
      </c>
      <c r="D1365" t="s">
        <v>42</v>
      </c>
      <c r="E1365" t="s">
        <v>151</v>
      </c>
      <c r="F1365" t="s">
        <v>152</v>
      </c>
      <c r="G1365">
        <v>-15000</v>
      </c>
      <c r="H1365" t="s">
        <v>153</v>
      </c>
      <c r="I1365" t="s">
        <v>64</v>
      </c>
    </row>
    <row r="1366" spans="1:9">
      <c r="A1366" s="49">
        <v>45906</v>
      </c>
      <c r="B1366" s="50">
        <v>0.7999189814814814</v>
      </c>
      <c r="C1366" t="s">
        <v>150</v>
      </c>
      <c r="D1366" t="s">
        <v>42</v>
      </c>
      <c r="E1366" t="s">
        <v>151</v>
      </c>
      <c r="F1366" t="s">
        <v>152</v>
      </c>
      <c r="G1366">
        <v>-23180</v>
      </c>
      <c r="H1366" t="s">
        <v>153</v>
      </c>
      <c r="I1366" t="s">
        <v>64</v>
      </c>
    </row>
    <row r="1367" spans="1:9">
      <c r="A1367" s="49">
        <v>45906</v>
      </c>
      <c r="B1367" s="50">
        <v>0.493900462962963</v>
      </c>
      <c r="C1367" t="s">
        <v>150</v>
      </c>
      <c r="D1367" t="s">
        <v>44</v>
      </c>
      <c r="E1367" t="s">
        <v>315</v>
      </c>
      <c r="F1367" t="s">
        <v>316</v>
      </c>
      <c r="G1367">
        <v>-2500</v>
      </c>
      <c r="H1367" t="s">
        <v>153</v>
      </c>
      <c r="I1367" t="s">
        <v>164</v>
      </c>
    </row>
    <row r="1368" spans="1:9">
      <c r="A1368" s="49">
        <v>45906</v>
      </c>
      <c r="B1368" s="50">
        <v>0.493900462962963</v>
      </c>
      <c r="C1368" t="s">
        <v>155</v>
      </c>
      <c r="D1368" t="s">
        <v>158</v>
      </c>
      <c r="E1368" t="s">
        <v>32</v>
      </c>
      <c r="F1368" t="s">
        <v>159</v>
      </c>
      <c r="G1368">
        <v>10000</v>
      </c>
      <c r="H1368" t="s">
        <v>153</v>
      </c>
      <c r="I1368" t="s">
        <v>157</v>
      </c>
    </row>
    <row r="1369" spans="1:9">
      <c r="A1369" s="49">
        <v>45906</v>
      </c>
      <c r="B1369" s="50">
        <v>0.493900462962963</v>
      </c>
      <c r="C1369" t="s">
        <v>155</v>
      </c>
      <c r="D1369" t="s">
        <v>158</v>
      </c>
      <c r="E1369" t="s">
        <v>32</v>
      </c>
      <c r="F1369" t="s">
        <v>160</v>
      </c>
      <c r="G1369">
        <v>-10000</v>
      </c>
      <c r="H1369" t="s">
        <v>153</v>
      </c>
      <c r="I1369" t="s">
        <v>64</v>
      </c>
    </row>
    <row r="1370" spans="1:9">
      <c r="A1370" s="49">
        <v>45906</v>
      </c>
      <c r="B1370" s="50">
        <v>0.4910069444444444</v>
      </c>
      <c r="C1370" t="s">
        <v>155</v>
      </c>
      <c r="D1370" t="s">
        <v>229</v>
      </c>
      <c r="E1370" t="s">
        <v>32</v>
      </c>
      <c r="F1370" t="s">
        <v>701</v>
      </c>
      <c r="G1370">
        <v>318900</v>
      </c>
      <c r="H1370" t="s">
        <v>153</v>
      </c>
      <c r="I1370" t="s">
        <v>64</v>
      </c>
    </row>
    <row r="1371" spans="1:9">
      <c r="A1371" s="49">
        <v>45906</v>
      </c>
      <c r="B1371" s="50">
        <v>0.4897106481481481</v>
      </c>
      <c r="C1371" t="s">
        <v>155</v>
      </c>
      <c r="D1371" t="s">
        <v>155</v>
      </c>
      <c r="E1371" t="s">
        <v>32</v>
      </c>
      <c r="F1371" t="s">
        <v>246</v>
      </c>
      <c r="G1371">
        <v>-299700</v>
      </c>
      <c r="H1371" t="s">
        <v>153</v>
      </c>
      <c r="I1371" t="s">
        <v>64</v>
      </c>
    </row>
    <row r="1372" spans="1:9">
      <c r="A1372" s="49">
        <v>45906</v>
      </c>
      <c r="B1372" s="50">
        <v>0.4889467592592592</v>
      </c>
      <c r="C1372" t="s">
        <v>155</v>
      </c>
      <c r="D1372" t="s">
        <v>155</v>
      </c>
      <c r="E1372" t="s">
        <v>32</v>
      </c>
      <c r="F1372" t="s">
        <v>246</v>
      </c>
      <c r="G1372">
        <v>-21900</v>
      </c>
      <c r="H1372" t="s">
        <v>153</v>
      </c>
      <c r="I1372" t="s">
        <v>64</v>
      </c>
    </row>
    <row r="1373" spans="1:9">
      <c r="A1373" s="49">
        <v>45906</v>
      </c>
      <c r="B1373" s="50">
        <v>0.4794907407407407</v>
      </c>
      <c r="C1373" t="s">
        <v>150</v>
      </c>
      <c r="D1373" t="s">
        <v>42</v>
      </c>
      <c r="E1373" t="s">
        <v>151</v>
      </c>
      <c r="F1373" t="s">
        <v>152</v>
      </c>
      <c r="G1373">
        <v>-27500</v>
      </c>
      <c r="H1373" t="s">
        <v>153</v>
      </c>
      <c r="I1373" t="s">
        <v>64</v>
      </c>
    </row>
    <row r="1374" spans="1:9">
      <c r="A1374" s="49">
        <v>45906</v>
      </c>
      <c r="B1374" s="50">
        <v>0.3121412037037037</v>
      </c>
      <c r="C1374" t="s">
        <v>155</v>
      </c>
      <c r="D1374" t="s">
        <v>155</v>
      </c>
      <c r="E1374" t="s">
        <v>32</v>
      </c>
      <c r="F1374" t="s">
        <v>702</v>
      </c>
      <c r="G1374">
        <v>499000</v>
      </c>
      <c r="H1374" t="s">
        <v>153</v>
      </c>
      <c r="I1374" t="s">
        <v>64</v>
      </c>
    </row>
    <row r="1375" spans="1:9">
      <c r="A1375" s="49">
        <v>45905</v>
      </c>
      <c r="B1375" s="50">
        <v>0.783449074074074</v>
      </c>
      <c r="C1375" t="s">
        <v>155</v>
      </c>
      <c r="D1375" t="s">
        <v>155</v>
      </c>
      <c r="E1375" t="s">
        <v>32</v>
      </c>
      <c r="F1375" t="s">
        <v>703</v>
      </c>
      <c r="G1375">
        <v>390000</v>
      </c>
      <c r="H1375" t="s">
        <v>153</v>
      </c>
      <c r="I1375" t="s">
        <v>64</v>
      </c>
    </row>
    <row r="1376" spans="1:9">
      <c r="A1376" s="49">
        <v>45905</v>
      </c>
      <c r="B1376" s="50">
        <v>0.3954282407407407</v>
      </c>
      <c r="C1376" t="s">
        <v>150</v>
      </c>
      <c r="D1376" t="s">
        <v>44</v>
      </c>
      <c r="E1376" t="s">
        <v>162</v>
      </c>
      <c r="F1376" t="s">
        <v>163</v>
      </c>
      <c r="G1376">
        <v>-1900</v>
      </c>
      <c r="H1376" t="s">
        <v>153</v>
      </c>
      <c r="I1376" t="s">
        <v>164</v>
      </c>
    </row>
    <row r="1377" spans="1:9">
      <c r="A1377" s="49">
        <v>45905</v>
      </c>
      <c r="B1377" s="50">
        <v>0.2562962962962963</v>
      </c>
      <c r="C1377" t="s">
        <v>150</v>
      </c>
      <c r="D1377" t="s">
        <v>35</v>
      </c>
      <c r="E1377" t="s">
        <v>169</v>
      </c>
      <c r="F1377" t="s">
        <v>704</v>
      </c>
      <c r="G1377">
        <v>-14750</v>
      </c>
      <c r="H1377" t="s">
        <v>153</v>
      </c>
      <c r="I1377" t="s">
        <v>214</v>
      </c>
    </row>
    <row r="1378" spans="1:9">
      <c r="A1378" s="49">
        <v>45905</v>
      </c>
      <c r="B1378" s="50">
        <v>0.2562962962962963</v>
      </c>
      <c r="C1378" t="s">
        <v>150</v>
      </c>
      <c r="D1378" t="s">
        <v>35</v>
      </c>
      <c r="E1378" t="s">
        <v>482</v>
      </c>
      <c r="F1378" t="s">
        <v>705</v>
      </c>
      <c r="G1378">
        <v>-13050</v>
      </c>
      <c r="H1378" t="s">
        <v>153</v>
      </c>
      <c r="I1378" t="s">
        <v>214</v>
      </c>
    </row>
    <row r="1379" spans="1:9">
      <c r="A1379" s="49">
        <v>45904</v>
      </c>
      <c r="B1379" s="50">
        <v>0.9243981481481481</v>
      </c>
      <c r="C1379" t="s">
        <v>150</v>
      </c>
      <c r="D1379" t="s">
        <v>40</v>
      </c>
      <c r="E1379" t="s">
        <v>380</v>
      </c>
      <c r="F1379" t="s">
        <v>381</v>
      </c>
      <c r="G1379">
        <v>-4700</v>
      </c>
      <c r="H1379" t="s">
        <v>153</v>
      </c>
      <c r="I1379" t="s">
        <v>164</v>
      </c>
    </row>
    <row r="1380" spans="1:9">
      <c r="A1380" s="49">
        <v>45904</v>
      </c>
      <c r="B1380" s="50">
        <v>0.7082986111111111</v>
      </c>
      <c r="C1380" t="s">
        <v>155</v>
      </c>
      <c r="D1380" t="s">
        <v>155</v>
      </c>
      <c r="E1380" t="s">
        <v>32</v>
      </c>
      <c r="F1380" t="s">
        <v>246</v>
      </c>
      <c r="G1380">
        <v>-47100</v>
      </c>
      <c r="H1380" t="s">
        <v>153</v>
      </c>
      <c r="I1380" t="s">
        <v>64</v>
      </c>
    </row>
    <row r="1381" spans="1:9">
      <c r="A1381" s="49">
        <v>45904</v>
      </c>
      <c r="B1381" s="50">
        <v>0.7018865740740741</v>
      </c>
      <c r="C1381" t="s">
        <v>150</v>
      </c>
      <c r="D1381" t="s">
        <v>40</v>
      </c>
      <c r="E1381" t="s">
        <v>172</v>
      </c>
      <c r="F1381" t="s">
        <v>383</v>
      </c>
      <c r="G1381">
        <v>0</v>
      </c>
      <c r="H1381" t="s">
        <v>153</v>
      </c>
      <c r="I1381" t="s">
        <v>164</v>
      </c>
    </row>
    <row r="1382" spans="1:9">
      <c r="A1382" s="49">
        <v>45904</v>
      </c>
      <c r="B1382" s="50">
        <v>0.4858680555555556</v>
      </c>
      <c r="C1382" t="s">
        <v>155</v>
      </c>
      <c r="D1382" t="s">
        <v>155</v>
      </c>
      <c r="E1382" t="s">
        <v>32</v>
      </c>
      <c r="F1382" t="s">
        <v>706</v>
      </c>
      <c r="G1382">
        <v>390000</v>
      </c>
      <c r="H1382" t="s">
        <v>153</v>
      </c>
      <c r="I1382" t="s">
        <v>64</v>
      </c>
    </row>
    <row r="1383" spans="1:9">
      <c r="A1383" s="49">
        <v>45904</v>
      </c>
      <c r="B1383" s="50">
        <v>0.443912037037037</v>
      </c>
      <c r="C1383" t="s">
        <v>150</v>
      </c>
      <c r="D1383" t="s">
        <v>44</v>
      </c>
      <c r="E1383" t="s">
        <v>225</v>
      </c>
      <c r="F1383" t="s">
        <v>372</v>
      </c>
      <c r="G1383">
        <v>-7890</v>
      </c>
      <c r="H1383" t="s">
        <v>153</v>
      </c>
      <c r="I1383" t="s">
        <v>64</v>
      </c>
    </row>
    <row r="1384" spans="1:9">
      <c r="A1384" s="49">
        <v>45903</v>
      </c>
      <c r="B1384" s="50">
        <v>0.7438888888888889</v>
      </c>
      <c r="C1384" t="s">
        <v>150</v>
      </c>
      <c r="D1384" t="s">
        <v>40</v>
      </c>
      <c r="E1384" t="s">
        <v>380</v>
      </c>
      <c r="F1384" t="s">
        <v>381</v>
      </c>
      <c r="G1384">
        <v>-1200</v>
      </c>
      <c r="H1384" t="s">
        <v>153</v>
      </c>
      <c r="I1384" t="s">
        <v>164</v>
      </c>
    </row>
    <row r="1385" spans="1:9">
      <c r="A1385" s="49">
        <v>45903</v>
      </c>
      <c r="B1385" s="50">
        <v>0.7438888888888889</v>
      </c>
      <c r="C1385" t="s">
        <v>155</v>
      </c>
      <c r="D1385" t="s">
        <v>158</v>
      </c>
      <c r="E1385" t="s">
        <v>32</v>
      </c>
      <c r="F1385" t="s">
        <v>159</v>
      </c>
      <c r="G1385">
        <v>10000</v>
      </c>
      <c r="H1385" t="s">
        <v>153</v>
      </c>
      <c r="I1385" t="s">
        <v>157</v>
      </c>
    </row>
    <row r="1386" spans="1:9">
      <c r="A1386" s="49">
        <v>45903</v>
      </c>
      <c r="B1386" s="50">
        <v>0.7438888888888889</v>
      </c>
      <c r="C1386" t="s">
        <v>155</v>
      </c>
      <c r="D1386" t="s">
        <v>158</v>
      </c>
      <c r="E1386" t="s">
        <v>32</v>
      </c>
      <c r="F1386" t="s">
        <v>160</v>
      </c>
      <c r="G1386">
        <v>-10000</v>
      </c>
      <c r="H1386" t="s">
        <v>153</v>
      </c>
      <c r="I1386" t="s">
        <v>64</v>
      </c>
    </row>
    <row r="1387" spans="1:9">
      <c r="A1387" s="49">
        <v>45903</v>
      </c>
      <c r="B1387" s="50">
        <v>0.6379513888888889</v>
      </c>
      <c r="C1387" t="s">
        <v>155</v>
      </c>
      <c r="D1387" t="s">
        <v>155</v>
      </c>
      <c r="E1387" t="s">
        <v>32</v>
      </c>
      <c r="F1387" t="s">
        <v>246</v>
      </c>
      <c r="G1387">
        <v>-48000</v>
      </c>
      <c r="H1387" t="s">
        <v>153</v>
      </c>
      <c r="I1387" t="s">
        <v>64</v>
      </c>
    </row>
    <row r="1388" spans="1:9">
      <c r="A1388" s="49">
        <v>45903</v>
      </c>
      <c r="B1388" s="50">
        <v>0.6228587962962963</v>
      </c>
      <c r="C1388" t="s">
        <v>150</v>
      </c>
      <c r="D1388" t="s">
        <v>40</v>
      </c>
      <c r="E1388" t="s">
        <v>172</v>
      </c>
      <c r="F1388" t="s">
        <v>383</v>
      </c>
      <c r="G1388">
        <v>0</v>
      </c>
      <c r="H1388" t="s">
        <v>153</v>
      </c>
      <c r="I1388" t="s">
        <v>164</v>
      </c>
    </row>
    <row r="1389" spans="1:9">
      <c r="A1389" s="49">
        <v>45903</v>
      </c>
      <c r="B1389" s="50">
        <v>0.500474537037037</v>
      </c>
      <c r="C1389" t="s">
        <v>150</v>
      </c>
      <c r="D1389" t="s">
        <v>44</v>
      </c>
      <c r="E1389" t="s">
        <v>260</v>
      </c>
      <c r="F1389" t="s">
        <v>261</v>
      </c>
      <c r="G1389">
        <v>-10000</v>
      </c>
      <c r="H1389" t="s">
        <v>153</v>
      </c>
      <c r="I1389" t="s">
        <v>64</v>
      </c>
    </row>
    <row r="1390" spans="1:9">
      <c r="A1390" s="49">
        <v>45902</v>
      </c>
      <c r="B1390" s="50">
        <v>0.5027546296296296</v>
      </c>
      <c r="C1390" t="s">
        <v>150</v>
      </c>
      <c r="D1390" t="s">
        <v>49</v>
      </c>
      <c r="E1390" t="s">
        <v>304</v>
      </c>
      <c r="F1390" t="s">
        <v>654</v>
      </c>
      <c r="G1390">
        <v>-92470</v>
      </c>
      <c r="H1390" t="s">
        <v>153</v>
      </c>
      <c r="I1390" t="s">
        <v>164</v>
      </c>
    </row>
    <row r="1391" spans="1:9">
      <c r="A1391" s="49">
        <v>45902</v>
      </c>
      <c r="B1391" s="50">
        <v>0.502662037037037</v>
      </c>
      <c r="C1391" t="s">
        <v>155</v>
      </c>
      <c r="D1391" t="s">
        <v>155</v>
      </c>
      <c r="E1391" t="s">
        <v>32</v>
      </c>
      <c r="F1391" t="s">
        <v>160</v>
      </c>
      <c r="G1391">
        <v>-44109</v>
      </c>
      <c r="H1391" t="s">
        <v>153</v>
      </c>
      <c r="I1391" t="s">
        <v>64</v>
      </c>
    </row>
    <row r="1392" spans="1:9">
      <c r="A1392" s="49">
        <v>45902</v>
      </c>
      <c r="B1392" s="50">
        <v>0.4811689814814815</v>
      </c>
      <c r="C1392" t="s">
        <v>150</v>
      </c>
      <c r="D1392" t="s">
        <v>35</v>
      </c>
      <c r="E1392" t="s">
        <v>169</v>
      </c>
      <c r="F1392" t="s">
        <v>170</v>
      </c>
      <c r="G1392">
        <v>-4900</v>
      </c>
      <c r="H1392" t="s">
        <v>153</v>
      </c>
      <c r="I1392" t="s">
        <v>171</v>
      </c>
    </row>
    <row r="1393" spans="1:9">
      <c r="A1393" s="49">
        <v>45901</v>
      </c>
      <c r="B1393" s="50">
        <v>0.6938773148148148</v>
      </c>
      <c r="C1393" t="s">
        <v>150</v>
      </c>
      <c r="D1393" t="s">
        <v>42</v>
      </c>
      <c r="E1393" t="s">
        <v>151</v>
      </c>
      <c r="F1393" t="s">
        <v>152</v>
      </c>
      <c r="G1393">
        <v>-26000</v>
      </c>
      <c r="H1393" t="s">
        <v>153</v>
      </c>
      <c r="I1393" t="s">
        <v>64</v>
      </c>
    </row>
    <row r="1394" spans="1:9">
      <c r="A1394" s="49">
        <v>45901</v>
      </c>
      <c r="B1394" s="50">
        <v>0.6914583333333333</v>
      </c>
      <c r="C1394" t="s">
        <v>150</v>
      </c>
      <c r="D1394" t="s">
        <v>42</v>
      </c>
      <c r="E1394" t="s">
        <v>151</v>
      </c>
      <c r="F1394" t="s">
        <v>152</v>
      </c>
      <c r="G1394">
        <v>-14000</v>
      </c>
      <c r="H1394" t="s">
        <v>153</v>
      </c>
      <c r="I1394" t="s">
        <v>64</v>
      </c>
    </row>
    <row r="1395" spans="1:9">
      <c r="A1395" s="49">
        <v>45901</v>
      </c>
      <c r="B1395" s="50">
        <v>0.6105092592592593</v>
      </c>
      <c r="C1395" t="s">
        <v>155</v>
      </c>
      <c r="D1395" t="s">
        <v>155</v>
      </c>
      <c r="E1395" t="s">
        <v>32</v>
      </c>
      <c r="F1395" t="s">
        <v>673</v>
      </c>
      <c r="G1395">
        <v>370000</v>
      </c>
      <c r="H1395" t="s">
        <v>153</v>
      </c>
      <c r="I1395" t="s">
        <v>64</v>
      </c>
    </row>
    <row r="1396" spans="1:9">
      <c r="A1396" s="49">
        <v>45901</v>
      </c>
      <c r="B1396" s="50">
        <v>0.5336226851851852</v>
      </c>
      <c r="C1396" t="s">
        <v>150</v>
      </c>
      <c r="D1396" t="s">
        <v>40</v>
      </c>
      <c r="E1396" t="s">
        <v>172</v>
      </c>
      <c r="F1396" t="s">
        <v>676</v>
      </c>
      <c r="G1396">
        <v>-3000</v>
      </c>
      <c r="H1396" t="s">
        <v>153</v>
      </c>
      <c r="I1396" t="s">
        <v>214</v>
      </c>
    </row>
    <row r="1397" spans="1:9">
      <c r="A1397" s="49">
        <v>45901</v>
      </c>
      <c r="B1397" s="50">
        <v>0.4928009259259259</v>
      </c>
      <c r="C1397" t="s">
        <v>150</v>
      </c>
      <c r="D1397" t="s">
        <v>42</v>
      </c>
      <c r="E1397" t="s">
        <v>374</v>
      </c>
      <c r="F1397" t="s">
        <v>375</v>
      </c>
      <c r="G1397">
        <v>-500</v>
      </c>
      <c r="H1397" t="s">
        <v>153</v>
      </c>
      <c r="I1397" t="s">
        <v>214</v>
      </c>
    </row>
    <row r="1398" spans="1:9">
      <c r="A1398" s="49">
        <v>45901</v>
      </c>
      <c r="B1398" s="50">
        <v>0.4685185185185185</v>
      </c>
      <c r="C1398" t="s">
        <v>167</v>
      </c>
      <c r="D1398" t="s">
        <v>30</v>
      </c>
      <c r="E1398" t="s">
        <v>32</v>
      </c>
      <c r="F1398" t="s">
        <v>707</v>
      </c>
      <c r="G1398">
        <v>1</v>
      </c>
      <c r="H1398" t="s">
        <v>153</v>
      </c>
      <c r="I1398" t="s">
        <v>64</v>
      </c>
    </row>
    <row r="1399" spans="1:9">
      <c r="A1399" s="49">
        <v>45901</v>
      </c>
      <c r="B1399" s="50">
        <v>0.1459143518518519</v>
      </c>
      <c r="C1399" t="s">
        <v>167</v>
      </c>
      <c r="D1399" t="s">
        <v>28</v>
      </c>
      <c r="E1399" t="s">
        <v>32</v>
      </c>
      <c r="F1399" t="s">
        <v>274</v>
      </c>
      <c r="G1399">
        <v>13</v>
      </c>
      <c r="H1399" t="s">
        <v>153</v>
      </c>
      <c r="I1399" t="s">
        <v>61</v>
      </c>
    </row>
    <row r="1400" spans="1:9">
      <c r="A1400" s="49">
        <v>45900</v>
      </c>
      <c r="B1400" s="50">
        <v>0.5874305555555556</v>
      </c>
      <c r="C1400" t="s">
        <v>155</v>
      </c>
      <c r="D1400" t="s">
        <v>155</v>
      </c>
      <c r="E1400" t="s">
        <v>32</v>
      </c>
      <c r="F1400" t="s">
        <v>246</v>
      </c>
      <c r="G1400">
        <v>-12900</v>
      </c>
      <c r="H1400" t="s">
        <v>153</v>
      </c>
      <c r="I1400" t="s">
        <v>64</v>
      </c>
    </row>
    <row r="1401" spans="1:9">
      <c r="A1401" s="49">
        <v>45900</v>
      </c>
      <c r="B1401" s="50">
        <v>0.4057870370370371</v>
      </c>
      <c r="C1401" t="s">
        <v>150</v>
      </c>
      <c r="D1401" t="s">
        <v>48</v>
      </c>
      <c r="E1401" t="s">
        <v>185</v>
      </c>
      <c r="F1401" t="s">
        <v>708</v>
      </c>
      <c r="G1401">
        <v>-15950</v>
      </c>
      <c r="H1401" t="s">
        <v>153</v>
      </c>
      <c r="I1401" t="s">
        <v>214</v>
      </c>
    </row>
    <row r="1402" spans="1:9">
      <c r="A1402" s="49">
        <v>45899</v>
      </c>
      <c r="B1402" s="50">
        <v>0.9025810185185185</v>
      </c>
      <c r="C1402" t="s">
        <v>150</v>
      </c>
      <c r="D1402" t="s">
        <v>42</v>
      </c>
      <c r="E1402" t="s">
        <v>151</v>
      </c>
      <c r="F1402" t="s">
        <v>152</v>
      </c>
      <c r="G1402">
        <v>-27600</v>
      </c>
      <c r="H1402" t="s">
        <v>153</v>
      </c>
      <c r="I1402" t="s">
        <v>64</v>
      </c>
    </row>
    <row r="1403" spans="1:9">
      <c r="A1403" s="49">
        <v>45899</v>
      </c>
      <c r="B1403" s="50">
        <v>0.7878703703703703</v>
      </c>
      <c r="C1403" t="s">
        <v>150</v>
      </c>
      <c r="D1403" t="s">
        <v>40</v>
      </c>
      <c r="E1403" t="s">
        <v>380</v>
      </c>
      <c r="F1403" t="s">
        <v>381</v>
      </c>
      <c r="G1403">
        <v>-6000</v>
      </c>
      <c r="H1403" t="s">
        <v>153</v>
      </c>
      <c r="I1403" t="s">
        <v>164</v>
      </c>
    </row>
    <row r="1404" spans="1:9">
      <c r="A1404" s="49">
        <v>45899</v>
      </c>
      <c r="B1404" s="50">
        <v>0.7390277777777777</v>
      </c>
      <c r="C1404" t="s">
        <v>155</v>
      </c>
      <c r="D1404" t="s">
        <v>155</v>
      </c>
      <c r="E1404" t="s">
        <v>32</v>
      </c>
      <c r="F1404" t="s">
        <v>246</v>
      </c>
      <c r="G1404">
        <v>-4690</v>
      </c>
      <c r="H1404" t="s">
        <v>153</v>
      </c>
      <c r="I1404" t="s">
        <v>64</v>
      </c>
    </row>
    <row r="1405" spans="1:9">
      <c r="A1405" s="49">
        <v>45899</v>
      </c>
      <c r="B1405" s="50">
        <v>0.5632060185185185</v>
      </c>
      <c r="C1405" t="s">
        <v>150</v>
      </c>
      <c r="D1405" t="s">
        <v>42</v>
      </c>
      <c r="E1405" t="s">
        <v>151</v>
      </c>
      <c r="F1405" t="s">
        <v>152</v>
      </c>
      <c r="G1405">
        <v>-9000</v>
      </c>
      <c r="H1405" t="s">
        <v>153</v>
      </c>
      <c r="I1405" t="s">
        <v>64</v>
      </c>
    </row>
    <row r="1406" spans="1:9">
      <c r="A1406" s="49">
        <v>45899</v>
      </c>
      <c r="B1406" s="50">
        <v>0.04293981481481481</v>
      </c>
      <c r="C1406" t="s">
        <v>150</v>
      </c>
      <c r="D1406" t="s">
        <v>45</v>
      </c>
      <c r="E1406" t="s">
        <v>503</v>
      </c>
      <c r="F1406" t="s">
        <v>709</v>
      </c>
      <c r="G1406">
        <v>-9400</v>
      </c>
      <c r="H1406" t="s">
        <v>153</v>
      </c>
      <c r="I1406" t="s">
        <v>214</v>
      </c>
    </row>
    <row r="1407" spans="1:9">
      <c r="A1407" s="49">
        <v>45898</v>
      </c>
      <c r="B1407" s="50">
        <v>0.8265046296296297</v>
      </c>
      <c r="C1407" t="s">
        <v>150</v>
      </c>
      <c r="D1407" t="s">
        <v>39</v>
      </c>
      <c r="E1407" t="s">
        <v>621</v>
      </c>
      <c r="F1407" t="s">
        <v>710</v>
      </c>
      <c r="G1407">
        <v>-9400</v>
      </c>
      <c r="H1407" t="s">
        <v>153</v>
      </c>
      <c r="I1407" t="s">
        <v>164</v>
      </c>
    </row>
    <row r="1408" spans="1:9">
      <c r="A1408" s="49">
        <v>45898</v>
      </c>
      <c r="B1408" s="50">
        <v>0.7912962962962963</v>
      </c>
      <c r="C1408" t="s">
        <v>150</v>
      </c>
      <c r="D1408" t="s">
        <v>42</v>
      </c>
      <c r="E1408" t="s">
        <v>463</v>
      </c>
      <c r="F1408" t="s">
        <v>711</v>
      </c>
      <c r="G1408">
        <v>-44700</v>
      </c>
      <c r="H1408" t="s">
        <v>153</v>
      </c>
      <c r="I1408" t="s">
        <v>214</v>
      </c>
    </row>
    <row r="1409" spans="1:9">
      <c r="A1409" s="49">
        <v>45898</v>
      </c>
      <c r="B1409" s="50">
        <v>0.5655555555555556</v>
      </c>
      <c r="C1409" t="s">
        <v>150</v>
      </c>
      <c r="D1409" t="s">
        <v>44</v>
      </c>
      <c r="E1409" t="s">
        <v>225</v>
      </c>
      <c r="F1409" t="s">
        <v>395</v>
      </c>
      <c r="G1409">
        <v>-14900</v>
      </c>
      <c r="H1409" t="s">
        <v>153</v>
      </c>
      <c r="I1409" t="s">
        <v>171</v>
      </c>
    </row>
    <row r="1410" spans="1:9">
      <c r="A1410" s="49">
        <v>45898</v>
      </c>
      <c r="B1410" s="50">
        <v>0.3294328703703704</v>
      </c>
      <c r="C1410" t="s">
        <v>150</v>
      </c>
      <c r="D1410" t="s">
        <v>44</v>
      </c>
      <c r="E1410" t="s">
        <v>315</v>
      </c>
      <c r="F1410" t="s">
        <v>316</v>
      </c>
      <c r="G1410">
        <v>-14000</v>
      </c>
      <c r="H1410" t="s">
        <v>153</v>
      </c>
      <c r="I1410" t="s">
        <v>164</v>
      </c>
    </row>
    <row r="1411" spans="1:9">
      <c r="A1411" s="49">
        <v>45897</v>
      </c>
      <c r="B1411" s="50">
        <v>0.55375</v>
      </c>
      <c r="C1411" t="s">
        <v>150</v>
      </c>
      <c r="D1411" t="s">
        <v>42</v>
      </c>
      <c r="E1411" t="s">
        <v>374</v>
      </c>
      <c r="F1411" t="s">
        <v>375</v>
      </c>
      <c r="G1411">
        <v>-1500</v>
      </c>
      <c r="H1411" t="s">
        <v>153</v>
      </c>
      <c r="I1411" t="s">
        <v>214</v>
      </c>
    </row>
    <row r="1412" spans="1:9">
      <c r="A1412" s="49">
        <v>45897</v>
      </c>
      <c r="B1412" s="50">
        <v>0.4909375</v>
      </c>
      <c r="C1412" t="s">
        <v>155</v>
      </c>
      <c r="D1412" t="s">
        <v>155</v>
      </c>
      <c r="E1412" t="s">
        <v>32</v>
      </c>
      <c r="F1412" t="s">
        <v>246</v>
      </c>
      <c r="G1412">
        <v>-302120</v>
      </c>
      <c r="H1412" t="s">
        <v>153</v>
      </c>
      <c r="I1412" t="s">
        <v>64</v>
      </c>
    </row>
    <row r="1413" spans="1:9">
      <c r="A1413" s="49">
        <v>45896</v>
      </c>
      <c r="B1413" s="50">
        <v>0.9206597222222223</v>
      </c>
      <c r="C1413" t="s">
        <v>150</v>
      </c>
      <c r="D1413" t="s">
        <v>37</v>
      </c>
      <c r="E1413" t="s">
        <v>438</v>
      </c>
      <c r="F1413" t="s">
        <v>510</v>
      </c>
      <c r="G1413">
        <v>-5000</v>
      </c>
      <c r="H1413" t="s">
        <v>153</v>
      </c>
      <c r="I1413" t="s">
        <v>214</v>
      </c>
    </row>
    <row r="1414" spans="1:9">
      <c r="A1414" s="49">
        <v>45896</v>
      </c>
      <c r="B1414" s="50">
        <v>0.9201388888888888</v>
      </c>
      <c r="C1414" t="s">
        <v>150</v>
      </c>
      <c r="D1414" t="s">
        <v>37</v>
      </c>
      <c r="E1414" t="s">
        <v>438</v>
      </c>
      <c r="F1414" t="s">
        <v>510</v>
      </c>
      <c r="G1414">
        <v>-5000</v>
      </c>
      <c r="H1414" t="s">
        <v>153</v>
      </c>
      <c r="I1414" t="s">
        <v>214</v>
      </c>
    </row>
    <row r="1415" spans="1:9">
      <c r="A1415" s="49">
        <v>45896</v>
      </c>
      <c r="B1415" s="50">
        <v>0.8046296296296296</v>
      </c>
      <c r="C1415" t="s">
        <v>155</v>
      </c>
      <c r="D1415" t="s">
        <v>158</v>
      </c>
      <c r="E1415" t="s">
        <v>32</v>
      </c>
      <c r="F1415" t="s">
        <v>159</v>
      </c>
      <c r="G1415">
        <v>1658500</v>
      </c>
      <c r="H1415" t="s">
        <v>153</v>
      </c>
      <c r="I1415" t="s">
        <v>157</v>
      </c>
    </row>
    <row r="1416" spans="1:9">
      <c r="A1416" s="49">
        <v>45896</v>
      </c>
      <c r="B1416" s="50">
        <v>0.8046296296296296</v>
      </c>
      <c r="C1416" t="s">
        <v>155</v>
      </c>
      <c r="D1416" t="s">
        <v>158</v>
      </c>
      <c r="E1416" t="s">
        <v>32</v>
      </c>
      <c r="F1416" t="s">
        <v>160</v>
      </c>
      <c r="G1416">
        <v>-1658500</v>
      </c>
      <c r="H1416" t="s">
        <v>153</v>
      </c>
      <c r="I1416" t="s">
        <v>64</v>
      </c>
    </row>
    <row r="1417" spans="1:9">
      <c r="A1417" s="49">
        <v>45896</v>
      </c>
      <c r="B1417" s="50">
        <v>0.7515393518518518</v>
      </c>
      <c r="C1417" t="s">
        <v>150</v>
      </c>
      <c r="D1417" t="s">
        <v>40</v>
      </c>
      <c r="E1417" t="s">
        <v>172</v>
      </c>
      <c r="F1417" t="s">
        <v>379</v>
      </c>
      <c r="G1417">
        <v>-4500</v>
      </c>
      <c r="H1417" t="s">
        <v>153</v>
      </c>
      <c r="I1417" t="s">
        <v>214</v>
      </c>
    </row>
    <row r="1418" spans="1:9">
      <c r="A1418" s="49">
        <v>45896</v>
      </c>
      <c r="B1418" s="50">
        <v>0.7289583333333334</v>
      </c>
      <c r="C1418" t="s">
        <v>150</v>
      </c>
      <c r="D1418" t="s">
        <v>42</v>
      </c>
      <c r="E1418" t="s">
        <v>151</v>
      </c>
      <c r="F1418" t="s">
        <v>152</v>
      </c>
      <c r="G1418">
        <v>-28500</v>
      </c>
      <c r="H1418" t="s">
        <v>153</v>
      </c>
      <c r="I1418" t="s">
        <v>64</v>
      </c>
    </row>
    <row r="1419" spans="1:9">
      <c r="A1419" s="49">
        <v>45896</v>
      </c>
      <c r="B1419" s="50">
        <v>0.5827662037037037</v>
      </c>
      <c r="C1419" t="s">
        <v>155</v>
      </c>
      <c r="D1419" t="s">
        <v>241</v>
      </c>
      <c r="E1419" t="s">
        <v>32</v>
      </c>
      <c r="F1419" t="s">
        <v>712</v>
      </c>
      <c r="G1419">
        <v>556920</v>
      </c>
      <c r="H1419" t="s">
        <v>153</v>
      </c>
      <c r="I1419" t="s">
        <v>64</v>
      </c>
    </row>
    <row r="1420" spans="1:9">
      <c r="A1420" s="49">
        <v>45896</v>
      </c>
      <c r="B1420" s="50">
        <v>0.4067013888888889</v>
      </c>
      <c r="C1420" t="s">
        <v>155</v>
      </c>
      <c r="D1420" t="s">
        <v>155</v>
      </c>
      <c r="E1420" t="s">
        <v>32</v>
      </c>
      <c r="F1420" t="s">
        <v>713</v>
      </c>
      <c r="G1420">
        <v>390000</v>
      </c>
      <c r="H1420" t="s">
        <v>153</v>
      </c>
      <c r="I1420" t="s">
        <v>64</v>
      </c>
    </row>
    <row r="1421" spans="1:9">
      <c r="A1421" s="49">
        <v>45896</v>
      </c>
      <c r="B1421" s="50">
        <v>0.3822222222222222</v>
      </c>
      <c r="C1421" t="s">
        <v>150</v>
      </c>
      <c r="D1421" t="s">
        <v>44</v>
      </c>
      <c r="E1421" t="s">
        <v>315</v>
      </c>
      <c r="F1421" t="s">
        <v>316</v>
      </c>
      <c r="G1421">
        <v>-29000</v>
      </c>
      <c r="H1421" t="s">
        <v>153</v>
      </c>
      <c r="I1421" t="s">
        <v>164</v>
      </c>
    </row>
    <row r="1422" spans="1:9">
      <c r="A1422" s="49">
        <v>45895</v>
      </c>
      <c r="B1422" s="50">
        <v>0.997025462962963</v>
      </c>
      <c r="C1422" t="s">
        <v>150</v>
      </c>
      <c r="D1422" t="s">
        <v>40</v>
      </c>
      <c r="E1422" t="s">
        <v>172</v>
      </c>
      <c r="F1422" t="s">
        <v>379</v>
      </c>
      <c r="G1422">
        <v>-1300</v>
      </c>
      <c r="H1422" t="s">
        <v>153</v>
      </c>
      <c r="I1422" t="s">
        <v>214</v>
      </c>
    </row>
    <row r="1423" spans="1:9">
      <c r="A1423" s="49">
        <v>45895</v>
      </c>
      <c r="B1423" s="50">
        <v>0.9483680555555556</v>
      </c>
      <c r="C1423" t="s">
        <v>150</v>
      </c>
      <c r="D1423" t="s">
        <v>36</v>
      </c>
      <c r="E1423" t="s">
        <v>266</v>
      </c>
      <c r="F1423" t="s">
        <v>681</v>
      </c>
      <c r="G1423">
        <v>-50000</v>
      </c>
      <c r="H1423" t="s">
        <v>153</v>
      </c>
      <c r="I1423" t="s">
        <v>214</v>
      </c>
    </row>
    <row r="1424" spans="1:9">
      <c r="A1424" s="49">
        <v>45895</v>
      </c>
      <c r="B1424" s="50">
        <v>0.8719560185185186</v>
      </c>
      <c r="C1424" t="s">
        <v>155</v>
      </c>
      <c r="D1424" t="s">
        <v>229</v>
      </c>
      <c r="E1424" t="s">
        <v>32</v>
      </c>
      <c r="F1424" t="s">
        <v>31</v>
      </c>
      <c r="G1424">
        <v>1000000</v>
      </c>
      <c r="H1424" t="s">
        <v>153</v>
      </c>
      <c r="I1424" t="s">
        <v>64</v>
      </c>
    </row>
    <row r="1425" spans="1:9">
      <c r="A1425" s="49">
        <v>45895</v>
      </c>
      <c r="B1425" s="50">
        <v>0.8381481481481482</v>
      </c>
      <c r="C1425" t="s">
        <v>150</v>
      </c>
      <c r="D1425" t="s">
        <v>44</v>
      </c>
      <c r="E1425" t="s">
        <v>260</v>
      </c>
      <c r="F1425" t="s">
        <v>261</v>
      </c>
      <c r="G1425">
        <v>-20000</v>
      </c>
      <c r="H1425" t="s">
        <v>153</v>
      </c>
      <c r="I1425" t="s">
        <v>64</v>
      </c>
    </row>
    <row r="1426" spans="1:9">
      <c r="A1426" s="49">
        <v>45895</v>
      </c>
      <c r="B1426" s="50">
        <v>0.6211574074074074</v>
      </c>
      <c r="C1426" t="s">
        <v>155</v>
      </c>
      <c r="D1426" t="s">
        <v>155</v>
      </c>
      <c r="E1426" t="s">
        <v>32</v>
      </c>
      <c r="F1426" t="s">
        <v>246</v>
      </c>
      <c r="G1426">
        <v>-26600</v>
      </c>
      <c r="H1426" t="s">
        <v>153</v>
      </c>
      <c r="I1426" t="s">
        <v>64</v>
      </c>
    </row>
    <row r="1427" spans="1:9">
      <c r="A1427" s="49">
        <v>45895</v>
      </c>
      <c r="B1427" s="50">
        <v>0.5401157407407408</v>
      </c>
      <c r="C1427" t="s">
        <v>150</v>
      </c>
      <c r="D1427" t="s">
        <v>40</v>
      </c>
      <c r="E1427" t="s">
        <v>172</v>
      </c>
      <c r="F1427" t="s">
        <v>676</v>
      </c>
      <c r="G1427">
        <v>-3000</v>
      </c>
      <c r="H1427" t="s">
        <v>153</v>
      </c>
      <c r="I1427" t="s">
        <v>214</v>
      </c>
    </row>
    <row r="1428" spans="1:9">
      <c r="A1428" s="49">
        <v>45895</v>
      </c>
      <c r="B1428" s="50">
        <v>0.4367245370370371</v>
      </c>
      <c r="C1428" t="s">
        <v>150</v>
      </c>
      <c r="D1428" t="s">
        <v>42</v>
      </c>
      <c r="E1428" t="s">
        <v>374</v>
      </c>
      <c r="F1428" t="s">
        <v>375</v>
      </c>
      <c r="G1428">
        <v>-4000</v>
      </c>
      <c r="H1428" t="s">
        <v>153</v>
      </c>
      <c r="I1428" t="s">
        <v>214</v>
      </c>
    </row>
    <row r="1429" spans="1:9">
      <c r="A1429" s="49">
        <v>45895</v>
      </c>
      <c r="B1429" s="50">
        <v>0.3921064814814815</v>
      </c>
      <c r="C1429" t="s">
        <v>150</v>
      </c>
      <c r="D1429" t="s">
        <v>42</v>
      </c>
      <c r="E1429" t="s">
        <v>374</v>
      </c>
      <c r="F1429" t="s">
        <v>375</v>
      </c>
      <c r="G1429">
        <v>-3000</v>
      </c>
      <c r="H1429" t="s">
        <v>153</v>
      </c>
      <c r="I1429" t="s">
        <v>214</v>
      </c>
    </row>
    <row r="1430" spans="1:9">
      <c r="A1430" s="49">
        <v>45895</v>
      </c>
      <c r="B1430" s="50">
        <v>0.3506828703703704</v>
      </c>
      <c r="C1430" t="s">
        <v>150</v>
      </c>
      <c r="D1430" t="s">
        <v>36</v>
      </c>
      <c r="E1430" t="s">
        <v>191</v>
      </c>
      <c r="F1430" t="s">
        <v>192</v>
      </c>
      <c r="G1430">
        <v>-2600</v>
      </c>
      <c r="H1430" t="s">
        <v>153</v>
      </c>
      <c r="I1430" t="s">
        <v>157</v>
      </c>
    </row>
    <row r="1431" spans="1:9">
      <c r="A1431" s="49">
        <v>45894</v>
      </c>
      <c r="B1431" s="50">
        <v>0.9149189814814814</v>
      </c>
      <c r="C1431" t="s">
        <v>155</v>
      </c>
      <c r="D1431" t="s">
        <v>158</v>
      </c>
      <c r="E1431" t="s">
        <v>32</v>
      </c>
      <c r="F1431" t="s">
        <v>7</v>
      </c>
      <c r="G1431">
        <v>-7682629</v>
      </c>
      <c r="H1431" t="s">
        <v>153</v>
      </c>
      <c r="I1431" t="s">
        <v>64</v>
      </c>
    </row>
    <row r="1432" spans="1:9">
      <c r="A1432" s="49">
        <v>45894</v>
      </c>
      <c r="B1432" s="50">
        <v>0.9146759259259259</v>
      </c>
      <c r="C1432" t="s">
        <v>155</v>
      </c>
      <c r="D1432" t="s">
        <v>158</v>
      </c>
      <c r="E1432" t="s">
        <v>32</v>
      </c>
      <c r="F1432" t="s">
        <v>7</v>
      </c>
      <c r="G1432">
        <v>-10000000</v>
      </c>
      <c r="H1432" t="s">
        <v>153</v>
      </c>
      <c r="I1432" t="s">
        <v>64</v>
      </c>
    </row>
    <row r="1433" spans="1:9">
      <c r="A1433" s="49">
        <v>45894</v>
      </c>
      <c r="B1433" s="50">
        <v>0.9</v>
      </c>
      <c r="C1433" t="s">
        <v>150</v>
      </c>
      <c r="D1433" t="s">
        <v>40</v>
      </c>
      <c r="E1433" t="s">
        <v>172</v>
      </c>
      <c r="F1433" t="s">
        <v>714</v>
      </c>
      <c r="G1433">
        <v>-4300</v>
      </c>
      <c r="H1433" t="s">
        <v>153</v>
      </c>
      <c r="I1433" t="s">
        <v>164</v>
      </c>
    </row>
    <row r="1434" spans="1:9">
      <c r="A1434" s="49">
        <v>45894</v>
      </c>
      <c r="B1434" s="50">
        <v>0.8579861111111111</v>
      </c>
      <c r="C1434" t="s">
        <v>150</v>
      </c>
      <c r="D1434" t="s">
        <v>40</v>
      </c>
      <c r="E1434" t="s">
        <v>172</v>
      </c>
      <c r="F1434" t="s">
        <v>714</v>
      </c>
      <c r="G1434">
        <v>-2500</v>
      </c>
      <c r="H1434" t="s">
        <v>153</v>
      </c>
      <c r="I1434" t="s">
        <v>164</v>
      </c>
    </row>
    <row r="1435" spans="1:9">
      <c r="A1435" s="49">
        <v>45894</v>
      </c>
      <c r="B1435" s="50">
        <v>0.8240740740740741</v>
      </c>
      <c r="C1435" t="s">
        <v>155</v>
      </c>
      <c r="D1435" t="s">
        <v>155</v>
      </c>
      <c r="E1435" t="s">
        <v>32</v>
      </c>
      <c r="F1435" t="s">
        <v>246</v>
      </c>
      <c r="G1435">
        <v>-42900</v>
      </c>
      <c r="H1435" t="s">
        <v>153</v>
      </c>
      <c r="I1435" t="s">
        <v>64</v>
      </c>
    </row>
    <row r="1436" spans="1:9">
      <c r="A1436" s="49">
        <v>45894</v>
      </c>
      <c r="B1436" s="50">
        <v>0.744386574074074</v>
      </c>
      <c r="C1436" t="s">
        <v>150</v>
      </c>
      <c r="D1436" t="s">
        <v>42</v>
      </c>
      <c r="E1436" t="s">
        <v>151</v>
      </c>
      <c r="F1436" t="s">
        <v>152</v>
      </c>
      <c r="G1436">
        <v>-23900</v>
      </c>
      <c r="H1436" t="s">
        <v>153</v>
      </c>
      <c r="I1436" t="s">
        <v>64</v>
      </c>
    </row>
    <row r="1437" spans="1:9">
      <c r="A1437" s="49">
        <v>45894</v>
      </c>
      <c r="B1437" s="50">
        <v>0.681412037037037</v>
      </c>
      <c r="C1437" t="s">
        <v>155</v>
      </c>
      <c r="D1437" t="s">
        <v>155</v>
      </c>
      <c r="E1437" t="s">
        <v>32</v>
      </c>
      <c r="F1437" t="s">
        <v>246</v>
      </c>
      <c r="G1437">
        <v>-3290</v>
      </c>
      <c r="H1437" t="s">
        <v>153</v>
      </c>
      <c r="I1437" t="s">
        <v>64</v>
      </c>
    </row>
    <row r="1438" spans="1:9">
      <c r="A1438" s="49">
        <v>45894</v>
      </c>
      <c r="B1438" s="50">
        <v>0.5408333333333334</v>
      </c>
      <c r="C1438" t="s">
        <v>150</v>
      </c>
      <c r="D1438" t="s">
        <v>40</v>
      </c>
      <c r="E1438" t="s">
        <v>172</v>
      </c>
      <c r="F1438" t="s">
        <v>676</v>
      </c>
      <c r="G1438">
        <v>-3000</v>
      </c>
      <c r="H1438" t="s">
        <v>153</v>
      </c>
      <c r="I1438" t="s">
        <v>214</v>
      </c>
    </row>
    <row r="1439" spans="1:9">
      <c r="A1439" s="49">
        <v>45894</v>
      </c>
      <c r="B1439" s="50">
        <v>0.5245601851851852</v>
      </c>
      <c r="C1439" t="s">
        <v>150</v>
      </c>
      <c r="D1439" t="s">
        <v>42</v>
      </c>
      <c r="E1439" t="s">
        <v>374</v>
      </c>
      <c r="F1439" t="s">
        <v>375</v>
      </c>
      <c r="G1439">
        <v>-40000</v>
      </c>
      <c r="H1439" t="s">
        <v>153</v>
      </c>
      <c r="I1439" t="s">
        <v>214</v>
      </c>
    </row>
    <row r="1440" spans="1:9">
      <c r="A1440" s="49">
        <v>45894</v>
      </c>
      <c r="B1440" s="50">
        <v>0.4524305555555556</v>
      </c>
      <c r="C1440" t="s">
        <v>150</v>
      </c>
      <c r="D1440" t="s">
        <v>36</v>
      </c>
      <c r="E1440" t="s">
        <v>377</v>
      </c>
      <c r="F1440" t="s">
        <v>687</v>
      </c>
      <c r="G1440">
        <v>-6188800</v>
      </c>
      <c r="H1440" t="s">
        <v>153</v>
      </c>
      <c r="I1440" t="s">
        <v>64</v>
      </c>
    </row>
    <row r="1441" spans="1:9">
      <c r="A1441" s="49">
        <v>45894</v>
      </c>
      <c r="B1441" s="50">
        <v>0.4390162037037037</v>
      </c>
      <c r="C1441" t="s">
        <v>155</v>
      </c>
      <c r="D1441" t="s">
        <v>155</v>
      </c>
      <c r="E1441" t="s">
        <v>32</v>
      </c>
      <c r="F1441" t="s">
        <v>246</v>
      </c>
      <c r="G1441">
        <v>-20270</v>
      </c>
      <c r="H1441" t="s">
        <v>153</v>
      </c>
      <c r="I1441" t="s">
        <v>64</v>
      </c>
    </row>
    <row r="1442" spans="1:9">
      <c r="A1442" s="49">
        <v>45894</v>
      </c>
      <c r="B1442" s="50">
        <v>0.4195717592592593</v>
      </c>
      <c r="C1442" t="s">
        <v>150</v>
      </c>
      <c r="D1442" t="s">
        <v>35</v>
      </c>
      <c r="E1442" t="s">
        <v>169</v>
      </c>
      <c r="F1442" t="s">
        <v>563</v>
      </c>
      <c r="G1442">
        <v>-1311</v>
      </c>
      <c r="H1442" t="s">
        <v>153</v>
      </c>
      <c r="I1442" t="s">
        <v>164</v>
      </c>
    </row>
    <row r="1443" spans="1:9">
      <c r="A1443" s="49">
        <v>45894</v>
      </c>
      <c r="B1443" s="50">
        <v>0.3301851851851852</v>
      </c>
      <c r="C1443" t="s">
        <v>150</v>
      </c>
      <c r="D1443" t="s">
        <v>48</v>
      </c>
      <c r="E1443" t="s">
        <v>185</v>
      </c>
      <c r="F1443" t="s">
        <v>715</v>
      </c>
      <c r="G1443">
        <v>-3200</v>
      </c>
      <c r="H1443" t="s">
        <v>153</v>
      </c>
      <c r="I1443" t="s">
        <v>164</v>
      </c>
    </row>
    <row r="1444" spans="1:9">
      <c r="A1444" s="49">
        <v>45894</v>
      </c>
      <c r="B1444" s="50">
        <v>0.3301620370370371</v>
      </c>
      <c r="C1444" t="s">
        <v>155</v>
      </c>
      <c r="D1444" t="s">
        <v>155</v>
      </c>
      <c r="E1444" t="s">
        <v>32</v>
      </c>
      <c r="F1444" t="s">
        <v>160</v>
      </c>
      <c r="G1444">
        <v>-10000</v>
      </c>
      <c r="H1444" t="s">
        <v>153</v>
      </c>
      <c r="I1444" t="s">
        <v>64</v>
      </c>
    </row>
    <row r="1445" spans="1:9">
      <c r="A1445" s="49">
        <v>45893</v>
      </c>
      <c r="B1445" s="50">
        <v>0.8617824074074074</v>
      </c>
      <c r="C1445" t="s">
        <v>150</v>
      </c>
      <c r="D1445" t="s">
        <v>44</v>
      </c>
      <c r="E1445" t="s">
        <v>162</v>
      </c>
      <c r="F1445" t="s">
        <v>716</v>
      </c>
      <c r="G1445">
        <v>-146100</v>
      </c>
      <c r="H1445" t="s">
        <v>153</v>
      </c>
      <c r="I1445" t="s">
        <v>171</v>
      </c>
    </row>
    <row r="1446" spans="1:9">
      <c r="A1446" s="49">
        <v>45893</v>
      </c>
      <c r="B1446" s="50">
        <v>0.7356712962962964</v>
      </c>
      <c r="C1446" t="s">
        <v>150</v>
      </c>
      <c r="D1446" t="s">
        <v>42</v>
      </c>
      <c r="E1446" t="s">
        <v>177</v>
      </c>
      <c r="F1446" t="s">
        <v>717</v>
      </c>
      <c r="G1446">
        <v>-51000</v>
      </c>
      <c r="H1446" t="s">
        <v>153</v>
      </c>
      <c r="I1446" t="s">
        <v>214</v>
      </c>
    </row>
    <row r="1447" spans="1:9">
      <c r="A1447" s="49">
        <v>45893</v>
      </c>
      <c r="B1447" s="50">
        <v>0.6827777777777778</v>
      </c>
      <c r="C1447" t="s">
        <v>150</v>
      </c>
      <c r="D1447" t="s">
        <v>35</v>
      </c>
      <c r="E1447" t="s">
        <v>174</v>
      </c>
      <c r="F1447" t="s">
        <v>314</v>
      </c>
      <c r="G1447">
        <v>-10000</v>
      </c>
      <c r="H1447" t="s">
        <v>153</v>
      </c>
      <c r="I1447" t="s">
        <v>64</v>
      </c>
    </row>
    <row r="1448" spans="1:9">
      <c r="A1448" s="49">
        <v>45892</v>
      </c>
      <c r="B1448" s="50">
        <v>0.8145486111111111</v>
      </c>
      <c r="C1448" t="s">
        <v>150</v>
      </c>
      <c r="D1448" t="s">
        <v>48</v>
      </c>
      <c r="E1448" t="s">
        <v>185</v>
      </c>
      <c r="F1448" t="s">
        <v>718</v>
      </c>
      <c r="G1448">
        <v>-5850</v>
      </c>
      <c r="H1448" t="s">
        <v>153</v>
      </c>
      <c r="I1448" t="s">
        <v>214</v>
      </c>
    </row>
    <row r="1449" spans="1:9">
      <c r="A1449" s="49">
        <v>45892</v>
      </c>
      <c r="B1449" s="50">
        <v>0.8128819444444444</v>
      </c>
      <c r="C1449" t="s">
        <v>150</v>
      </c>
      <c r="D1449" t="s">
        <v>40</v>
      </c>
      <c r="E1449" t="s">
        <v>172</v>
      </c>
      <c r="F1449" t="s">
        <v>383</v>
      </c>
      <c r="G1449">
        <v>0</v>
      </c>
      <c r="H1449" t="s">
        <v>153</v>
      </c>
      <c r="I1449" t="s">
        <v>164</v>
      </c>
    </row>
    <row r="1450" spans="1:9">
      <c r="A1450" s="49">
        <v>45892</v>
      </c>
      <c r="B1450" s="50">
        <v>0.7195601851851852</v>
      </c>
      <c r="C1450" t="s">
        <v>155</v>
      </c>
      <c r="D1450" t="s">
        <v>155</v>
      </c>
      <c r="E1450" t="s">
        <v>32</v>
      </c>
      <c r="F1450" t="s">
        <v>719</v>
      </c>
      <c r="G1450">
        <v>1</v>
      </c>
      <c r="H1450" t="s">
        <v>153</v>
      </c>
      <c r="I1450" t="s">
        <v>64</v>
      </c>
    </row>
    <row r="1451" spans="1:9">
      <c r="A1451" s="49">
        <v>45892</v>
      </c>
      <c r="B1451" s="50">
        <v>0.6982523148148149</v>
      </c>
      <c r="C1451" t="s">
        <v>150</v>
      </c>
      <c r="D1451" t="s">
        <v>36</v>
      </c>
      <c r="E1451" t="s">
        <v>191</v>
      </c>
      <c r="F1451" t="s">
        <v>192</v>
      </c>
      <c r="G1451">
        <v>-23500</v>
      </c>
      <c r="H1451" t="s">
        <v>153</v>
      </c>
      <c r="I1451" t="s">
        <v>157</v>
      </c>
    </row>
    <row r="1452" spans="1:9">
      <c r="A1452" s="49">
        <v>45892</v>
      </c>
      <c r="B1452" s="50">
        <v>0.6982523148148149</v>
      </c>
      <c r="C1452" t="s">
        <v>155</v>
      </c>
      <c r="D1452" t="s">
        <v>158</v>
      </c>
      <c r="E1452" t="s">
        <v>32</v>
      </c>
      <c r="F1452" t="s">
        <v>160</v>
      </c>
      <c r="G1452">
        <v>-16858</v>
      </c>
      <c r="H1452" t="s">
        <v>153</v>
      </c>
      <c r="I1452" t="s">
        <v>64</v>
      </c>
    </row>
    <row r="1453" spans="1:9">
      <c r="A1453" s="49">
        <v>45892</v>
      </c>
      <c r="B1453" s="50">
        <v>0.6982407407407407</v>
      </c>
      <c r="C1453" t="s">
        <v>155</v>
      </c>
      <c r="D1453" t="s">
        <v>158</v>
      </c>
      <c r="E1453" t="s">
        <v>32</v>
      </c>
      <c r="F1453" t="s">
        <v>159</v>
      </c>
      <c r="G1453">
        <v>16858</v>
      </c>
      <c r="H1453" t="s">
        <v>153</v>
      </c>
      <c r="I1453" t="s">
        <v>157</v>
      </c>
    </row>
    <row r="1454" spans="1:9">
      <c r="A1454" s="49">
        <v>45892</v>
      </c>
      <c r="B1454" s="50">
        <v>0.4239120370370371</v>
      </c>
      <c r="C1454" t="s">
        <v>155</v>
      </c>
      <c r="D1454" t="s">
        <v>155</v>
      </c>
      <c r="E1454" t="s">
        <v>32</v>
      </c>
      <c r="F1454" t="s">
        <v>720</v>
      </c>
      <c r="G1454">
        <v>499000</v>
      </c>
      <c r="H1454" t="s">
        <v>153</v>
      </c>
      <c r="I1454" t="s">
        <v>64</v>
      </c>
    </row>
    <row r="1455" spans="1:9">
      <c r="A1455" s="49">
        <v>45892</v>
      </c>
      <c r="B1455" s="50">
        <v>0.1953009259259259</v>
      </c>
      <c r="C1455" t="s">
        <v>167</v>
      </c>
      <c r="D1455" t="s">
        <v>28</v>
      </c>
      <c r="E1455" t="s">
        <v>32</v>
      </c>
      <c r="F1455" t="s">
        <v>278</v>
      </c>
      <c r="G1455">
        <v>600</v>
      </c>
      <c r="H1455" t="s">
        <v>153</v>
      </c>
      <c r="I1455" t="s">
        <v>64</v>
      </c>
    </row>
    <row r="1456" spans="1:9">
      <c r="A1456" s="49">
        <v>45892</v>
      </c>
      <c r="B1456" s="50">
        <v>0.1065972222222222</v>
      </c>
      <c r="C1456" t="s">
        <v>155</v>
      </c>
      <c r="D1456" t="s">
        <v>241</v>
      </c>
      <c r="E1456" t="s">
        <v>32</v>
      </c>
      <c r="F1456" t="s">
        <v>279</v>
      </c>
      <c r="G1456">
        <v>0</v>
      </c>
      <c r="H1456" t="s">
        <v>153</v>
      </c>
      <c r="I1456" t="s">
        <v>62</v>
      </c>
    </row>
    <row r="1457" spans="1:9">
      <c r="A1457" s="49">
        <v>45892</v>
      </c>
      <c r="B1457" s="50">
        <v>0.08293981481481481</v>
      </c>
      <c r="C1457" t="s">
        <v>155</v>
      </c>
      <c r="D1457" t="s">
        <v>158</v>
      </c>
      <c r="E1457" t="s">
        <v>32</v>
      </c>
      <c r="F1457" t="s">
        <v>7</v>
      </c>
      <c r="G1457">
        <v>-10000000</v>
      </c>
      <c r="H1457" t="s">
        <v>153</v>
      </c>
      <c r="I1457" t="s">
        <v>64</v>
      </c>
    </row>
    <row r="1458" spans="1:9">
      <c r="A1458" s="49">
        <v>45892</v>
      </c>
      <c r="B1458" s="50">
        <v>0.05930555555555556</v>
      </c>
      <c r="C1458" t="s">
        <v>155</v>
      </c>
      <c r="D1458" t="s">
        <v>158</v>
      </c>
      <c r="E1458" t="s">
        <v>32</v>
      </c>
      <c r="F1458" t="s">
        <v>159</v>
      </c>
      <c r="G1458">
        <v>1019700</v>
      </c>
      <c r="H1458" t="s">
        <v>153</v>
      </c>
      <c r="I1458" t="s">
        <v>157</v>
      </c>
    </row>
    <row r="1459" spans="1:9">
      <c r="A1459" s="49">
        <v>45892</v>
      </c>
      <c r="B1459" s="50">
        <v>0.05930555555555556</v>
      </c>
      <c r="C1459" t="s">
        <v>155</v>
      </c>
      <c r="D1459" t="s">
        <v>158</v>
      </c>
      <c r="E1459" t="s">
        <v>32</v>
      </c>
      <c r="F1459" t="s">
        <v>160</v>
      </c>
      <c r="G1459">
        <v>-1019700</v>
      </c>
      <c r="H1459" t="s">
        <v>153</v>
      </c>
      <c r="I1459" t="s">
        <v>64</v>
      </c>
    </row>
    <row r="1460" spans="1:9">
      <c r="A1460" s="49">
        <v>45892</v>
      </c>
      <c r="B1460" s="50">
        <v>0.05929398148148148</v>
      </c>
      <c r="C1460" t="s">
        <v>155</v>
      </c>
      <c r="D1460" t="s">
        <v>158</v>
      </c>
      <c r="E1460" t="s">
        <v>32</v>
      </c>
      <c r="F1460" t="s">
        <v>159</v>
      </c>
      <c r="G1460">
        <v>2000000</v>
      </c>
      <c r="H1460" t="s">
        <v>153</v>
      </c>
      <c r="I1460" t="s">
        <v>157</v>
      </c>
    </row>
    <row r="1461" spans="1:9">
      <c r="A1461" s="49">
        <v>45892</v>
      </c>
      <c r="B1461" s="50">
        <v>0.05929398148148148</v>
      </c>
      <c r="C1461" t="s">
        <v>155</v>
      </c>
      <c r="D1461" t="s">
        <v>158</v>
      </c>
      <c r="E1461" t="s">
        <v>32</v>
      </c>
      <c r="F1461" t="s">
        <v>159</v>
      </c>
      <c r="G1461">
        <v>2000000</v>
      </c>
      <c r="H1461" t="s">
        <v>153</v>
      </c>
      <c r="I1461" t="s">
        <v>157</v>
      </c>
    </row>
    <row r="1462" spans="1:9">
      <c r="A1462" s="49">
        <v>45892</v>
      </c>
      <c r="B1462" s="50">
        <v>0.05929398148148148</v>
      </c>
      <c r="C1462" t="s">
        <v>155</v>
      </c>
      <c r="D1462" t="s">
        <v>158</v>
      </c>
      <c r="E1462" t="s">
        <v>32</v>
      </c>
      <c r="F1462" t="s">
        <v>160</v>
      </c>
      <c r="G1462">
        <v>-2000000</v>
      </c>
      <c r="H1462" t="s">
        <v>153</v>
      </c>
      <c r="I1462" t="s">
        <v>64</v>
      </c>
    </row>
    <row r="1463" spans="1:9">
      <c r="A1463" s="49">
        <v>45892</v>
      </c>
      <c r="B1463" s="50">
        <v>0.05929398148148148</v>
      </c>
      <c r="C1463" t="s">
        <v>155</v>
      </c>
      <c r="D1463" t="s">
        <v>158</v>
      </c>
      <c r="E1463" t="s">
        <v>32</v>
      </c>
      <c r="F1463" t="s">
        <v>160</v>
      </c>
      <c r="G1463">
        <v>-2000000</v>
      </c>
      <c r="H1463" t="s">
        <v>153</v>
      </c>
      <c r="I1463" t="s">
        <v>64</v>
      </c>
    </row>
    <row r="1464" spans="1:9">
      <c r="A1464" s="49">
        <v>45892</v>
      </c>
      <c r="B1464" s="50">
        <v>0.05613425925925926</v>
      </c>
      <c r="C1464" t="s">
        <v>155</v>
      </c>
      <c r="D1464" t="s">
        <v>158</v>
      </c>
      <c r="E1464" t="s">
        <v>32</v>
      </c>
      <c r="F1464" t="s">
        <v>7</v>
      </c>
      <c r="G1464">
        <v>6449820</v>
      </c>
      <c r="H1464" t="s">
        <v>153</v>
      </c>
      <c r="I1464" t="s">
        <v>64</v>
      </c>
    </row>
    <row r="1465" spans="1:9">
      <c r="A1465" s="49">
        <v>45892</v>
      </c>
      <c r="B1465" s="50">
        <v>0.05592592592592593</v>
      </c>
      <c r="C1465" t="s">
        <v>155</v>
      </c>
      <c r="D1465" t="s">
        <v>158</v>
      </c>
      <c r="E1465" t="s">
        <v>32</v>
      </c>
      <c r="F1465" t="s">
        <v>7</v>
      </c>
      <c r="G1465">
        <v>10000000</v>
      </c>
      <c r="H1465" t="s">
        <v>153</v>
      </c>
      <c r="I1465" t="s">
        <v>64</v>
      </c>
    </row>
    <row r="1466" spans="1:9">
      <c r="A1466" s="49">
        <v>45892</v>
      </c>
      <c r="B1466" s="50">
        <v>0.05570601851851852</v>
      </c>
      <c r="C1466" t="s">
        <v>155</v>
      </c>
      <c r="D1466" t="s">
        <v>158</v>
      </c>
      <c r="E1466" t="s">
        <v>32</v>
      </c>
      <c r="F1466" t="s">
        <v>7</v>
      </c>
      <c r="G1466">
        <v>10000000</v>
      </c>
      <c r="H1466" t="s">
        <v>153</v>
      </c>
      <c r="I1466" t="s">
        <v>64</v>
      </c>
    </row>
    <row r="1467" spans="1:9">
      <c r="A1467" s="49">
        <v>45892</v>
      </c>
      <c r="B1467" s="50">
        <v>0.05545138888888889</v>
      </c>
      <c r="C1467" t="s">
        <v>155</v>
      </c>
      <c r="D1467" t="s">
        <v>158</v>
      </c>
      <c r="E1467" t="s">
        <v>32</v>
      </c>
      <c r="F1467" t="s">
        <v>7</v>
      </c>
      <c r="G1467">
        <v>10000000</v>
      </c>
      <c r="H1467" t="s">
        <v>153</v>
      </c>
      <c r="I1467" t="s">
        <v>64</v>
      </c>
    </row>
    <row r="1468" spans="1:9">
      <c r="A1468" s="49">
        <v>45891</v>
      </c>
      <c r="B1468" s="50">
        <v>0.9549537037037037</v>
      </c>
      <c r="C1468" t="s">
        <v>150</v>
      </c>
      <c r="D1468" t="s">
        <v>35</v>
      </c>
      <c r="E1468" t="s">
        <v>174</v>
      </c>
      <c r="F1468" t="s">
        <v>314</v>
      </c>
      <c r="G1468">
        <v>-10000</v>
      </c>
      <c r="H1468" t="s">
        <v>153</v>
      </c>
      <c r="I1468" t="s">
        <v>64</v>
      </c>
    </row>
    <row r="1469" spans="1:9">
      <c r="A1469" s="49">
        <v>45891</v>
      </c>
      <c r="B1469" s="50">
        <v>0.7581597222222223</v>
      </c>
      <c r="C1469" t="s">
        <v>150</v>
      </c>
      <c r="D1469" t="s">
        <v>42</v>
      </c>
      <c r="E1469" t="s">
        <v>212</v>
      </c>
      <c r="F1469" t="s">
        <v>721</v>
      </c>
      <c r="G1469">
        <v>-68000</v>
      </c>
      <c r="H1469" t="s">
        <v>153</v>
      </c>
      <c r="I1469" t="s">
        <v>214</v>
      </c>
    </row>
    <row r="1470" spans="1:9">
      <c r="A1470" s="49">
        <v>45891</v>
      </c>
      <c r="B1470" s="50">
        <v>0.7055208333333334</v>
      </c>
      <c r="C1470" t="s">
        <v>150</v>
      </c>
      <c r="D1470" t="s">
        <v>40</v>
      </c>
      <c r="E1470" t="s">
        <v>172</v>
      </c>
      <c r="F1470" t="s">
        <v>379</v>
      </c>
      <c r="G1470">
        <v>-2500</v>
      </c>
      <c r="H1470" t="s">
        <v>153</v>
      </c>
      <c r="I1470" t="s">
        <v>214</v>
      </c>
    </row>
    <row r="1471" spans="1:9">
      <c r="A1471" s="49">
        <v>45891</v>
      </c>
      <c r="B1471" s="50">
        <v>0.703587962962963</v>
      </c>
      <c r="C1471" t="s">
        <v>150</v>
      </c>
      <c r="D1471" t="s">
        <v>35</v>
      </c>
      <c r="E1471" t="s">
        <v>174</v>
      </c>
      <c r="F1471" t="s">
        <v>314</v>
      </c>
      <c r="G1471">
        <v>-10000</v>
      </c>
      <c r="H1471" t="s">
        <v>153</v>
      </c>
      <c r="I1471" t="s">
        <v>64</v>
      </c>
    </row>
    <row r="1472" spans="1:9">
      <c r="A1472" s="49">
        <v>45891</v>
      </c>
      <c r="B1472" s="50">
        <v>0.7015162037037037</v>
      </c>
      <c r="C1472" t="s">
        <v>150</v>
      </c>
      <c r="D1472" t="s">
        <v>35</v>
      </c>
      <c r="E1472" t="s">
        <v>174</v>
      </c>
      <c r="F1472" t="s">
        <v>314</v>
      </c>
      <c r="G1472">
        <v>-10000</v>
      </c>
      <c r="H1472" t="s">
        <v>153</v>
      </c>
      <c r="I1472" t="s">
        <v>64</v>
      </c>
    </row>
    <row r="1473" spans="1:9">
      <c r="A1473" s="49">
        <v>45891</v>
      </c>
      <c r="B1473" s="50">
        <v>0.6364467592592593</v>
      </c>
      <c r="C1473" t="s">
        <v>150</v>
      </c>
      <c r="D1473" t="s">
        <v>36</v>
      </c>
      <c r="E1473" t="s">
        <v>191</v>
      </c>
      <c r="F1473" t="s">
        <v>192</v>
      </c>
      <c r="G1473">
        <v>-500000</v>
      </c>
      <c r="H1473" t="s">
        <v>153</v>
      </c>
      <c r="I1473" t="s">
        <v>157</v>
      </c>
    </row>
    <row r="1474" spans="1:9">
      <c r="A1474" s="49">
        <v>45891</v>
      </c>
      <c r="B1474" s="50">
        <v>0.6346990740740741</v>
      </c>
      <c r="C1474" t="s">
        <v>155</v>
      </c>
      <c r="D1474" t="s">
        <v>155</v>
      </c>
      <c r="E1474" t="s">
        <v>32</v>
      </c>
      <c r="F1474" t="s">
        <v>478</v>
      </c>
      <c r="G1474">
        <v>-500000</v>
      </c>
      <c r="H1474" t="s">
        <v>153</v>
      </c>
      <c r="I1474" t="s">
        <v>157</v>
      </c>
    </row>
    <row r="1475" spans="1:9">
      <c r="A1475" s="49">
        <v>45891</v>
      </c>
      <c r="B1475" s="50">
        <v>0.6344097222222222</v>
      </c>
      <c r="C1475" t="s">
        <v>150</v>
      </c>
      <c r="D1475" t="s">
        <v>36</v>
      </c>
      <c r="E1475" t="s">
        <v>191</v>
      </c>
      <c r="F1475" t="s">
        <v>192</v>
      </c>
      <c r="G1475">
        <v>-500000</v>
      </c>
      <c r="H1475" t="s">
        <v>153</v>
      </c>
      <c r="I1475" t="s">
        <v>157</v>
      </c>
    </row>
    <row r="1476" spans="1:9">
      <c r="A1476" s="49">
        <v>45891</v>
      </c>
      <c r="B1476" s="50">
        <v>0.6334375</v>
      </c>
      <c r="C1476" t="s">
        <v>155</v>
      </c>
      <c r="D1476" t="s">
        <v>155</v>
      </c>
      <c r="E1476" t="s">
        <v>32</v>
      </c>
      <c r="F1476" t="s">
        <v>722</v>
      </c>
      <c r="G1476">
        <v>500000</v>
      </c>
      <c r="H1476" t="s">
        <v>153</v>
      </c>
      <c r="I1476" t="s">
        <v>157</v>
      </c>
    </row>
    <row r="1477" spans="1:9">
      <c r="A1477" s="49">
        <v>45891</v>
      </c>
      <c r="B1477" s="50">
        <v>0.04482638888888889</v>
      </c>
      <c r="C1477" t="s">
        <v>155</v>
      </c>
      <c r="D1477" t="s">
        <v>158</v>
      </c>
      <c r="E1477" t="s">
        <v>32</v>
      </c>
      <c r="F1477" t="s">
        <v>7</v>
      </c>
      <c r="G1477">
        <v>-3000000</v>
      </c>
      <c r="H1477" t="s">
        <v>153</v>
      </c>
      <c r="I1477" t="s">
        <v>64</v>
      </c>
    </row>
    <row r="1478" spans="1:9">
      <c r="A1478" s="49">
        <v>45890</v>
      </c>
      <c r="B1478" s="50">
        <v>0.8959259259259259</v>
      </c>
      <c r="C1478" t="s">
        <v>150</v>
      </c>
      <c r="D1478" t="s">
        <v>42</v>
      </c>
      <c r="E1478" t="s">
        <v>151</v>
      </c>
      <c r="F1478" t="s">
        <v>152</v>
      </c>
      <c r="G1478">
        <v>-6425</v>
      </c>
      <c r="H1478" t="s">
        <v>153</v>
      </c>
      <c r="I1478" t="s">
        <v>64</v>
      </c>
    </row>
    <row r="1479" spans="1:9">
      <c r="A1479" s="49">
        <v>45890</v>
      </c>
      <c r="B1479" s="50">
        <v>0.8538773148148148</v>
      </c>
      <c r="C1479" t="s">
        <v>155</v>
      </c>
      <c r="D1479" t="s">
        <v>158</v>
      </c>
      <c r="E1479" t="s">
        <v>32</v>
      </c>
      <c r="F1479" t="s">
        <v>159</v>
      </c>
      <c r="G1479">
        <v>1117300</v>
      </c>
      <c r="H1479" t="s">
        <v>153</v>
      </c>
      <c r="I1479" t="s">
        <v>157</v>
      </c>
    </row>
    <row r="1480" spans="1:9">
      <c r="A1480" s="49">
        <v>45890</v>
      </c>
      <c r="B1480" s="50">
        <v>0.8538773148148148</v>
      </c>
      <c r="C1480" t="s">
        <v>155</v>
      </c>
      <c r="D1480" t="s">
        <v>158</v>
      </c>
      <c r="E1480" t="s">
        <v>32</v>
      </c>
      <c r="F1480" t="s">
        <v>160</v>
      </c>
      <c r="G1480">
        <v>-1117300</v>
      </c>
      <c r="H1480" t="s">
        <v>153</v>
      </c>
      <c r="I1480" t="s">
        <v>64</v>
      </c>
    </row>
    <row r="1481" spans="1:9">
      <c r="A1481" s="49">
        <v>45890</v>
      </c>
      <c r="B1481" s="50">
        <v>0.8538773148148148</v>
      </c>
      <c r="C1481" t="s">
        <v>155</v>
      </c>
      <c r="D1481" t="s">
        <v>155</v>
      </c>
      <c r="E1481" t="s">
        <v>32</v>
      </c>
      <c r="F1481" t="s">
        <v>160</v>
      </c>
      <c r="G1481">
        <v>-2000000</v>
      </c>
      <c r="H1481" t="s">
        <v>153</v>
      </c>
      <c r="I1481" t="s">
        <v>64</v>
      </c>
    </row>
    <row r="1482" spans="1:9">
      <c r="A1482" s="49">
        <v>45890</v>
      </c>
      <c r="B1482" s="50">
        <v>0.8538657407407407</v>
      </c>
      <c r="C1482" t="s">
        <v>155</v>
      </c>
      <c r="D1482" t="s">
        <v>158</v>
      </c>
      <c r="E1482" t="s">
        <v>32</v>
      </c>
      <c r="F1482" t="s">
        <v>159</v>
      </c>
      <c r="G1482">
        <v>2000000</v>
      </c>
      <c r="H1482" t="s">
        <v>153</v>
      </c>
      <c r="I1482" t="s">
        <v>157</v>
      </c>
    </row>
    <row r="1483" spans="1:9">
      <c r="A1483" s="49">
        <v>45890</v>
      </c>
      <c r="B1483" s="50">
        <v>0.8538657407407407</v>
      </c>
      <c r="C1483" t="s">
        <v>155</v>
      </c>
      <c r="D1483" t="s">
        <v>158</v>
      </c>
      <c r="E1483" t="s">
        <v>32</v>
      </c>
      <c r="F1483" t="s">
        <v>159</v>
      </c>
      <c r="G1483">
        <v>2000000</v>
      </c>
      <c r="H1483" t="s">
        <v>153</v>
      </c>
      <c r="I1483" t="s">
        <v>157</v>
      </c>
    </row>
    <row r="1484" spans="1:9">
      <c r="A1484" s="49">
        <v>45890</v>
      </c>
      <c r="B1484" s="50">
        <v>0.8538657407407407</v>
      </c>
      <c r="C1484" t="s">
        <v>155</v>
      </c>
      <c r="D1484" t="s">
        <v>158</v>
      </c>
      <c r="E1484" t="s">
        <v>32</v>
      </c>
      <c r="F1484" t="s">
        <v>160</v>
      </c>
      <c r="G1484">
        <v>-2000000</v>
      </c>
      <c r="H1484" t="s">
        <v>153</v>
      </c>
      <c r="I1484" t="s">
        <v>64</v>
      </c>
    </row>
    <row r="1485" spans="1:9">
      <c r="A1485" s="49">
        <v>45890</v>
      </c>
      <c r="B1485" s="50">
        <v>0.7594791666666667</v>
      </c>
      <c r="C1485" t="s">
        <v>150</v>
      </c>
      <c r="D1485" t="s">
        <v>43</v>
      </c>
      <c r="E1485" t="s">
        <v>644</v>
      </c>
      <c r="F1485" t="s">
        <v>723</v>
      </c>
      <c r="G1485">
        <v>-32990</v>
      </c>
      <c r="H1485" t="s">
        <v>153</v>
      </c>
      <c r="I1485" t="s">
        <v>64</v>
      </c>
    </row>
    <row r="1486" spans="1:9">
      <c r="A1486" s="49">
        <v>45890</v>
      </c>
      <c r="B1486" s="50">
        <v>0.634375</v>
      </c>
      <c r="C1486" t="s">
        <v>155</v>
      </c>
      <c r="D1486" t="s">
        <v>155</v>
      </c>
      <c r="E1486" t="s">
        <v>32</v>
      </c>
      <c r="F1486" t="s">
        <v>648</v>
      </c>
      <c r="G1486">
        <v>-13000</v>
      </c>
      <c r="H1486" t="s">
        <v>153</v>
      </c>
      <c r="I1486" t="s">
        <v>64</v>
      </c>
    </row>
    <row r="1487" spans="1:9">
      <c r="A1487" s="49">
        <v>45890</v>
      </c>
      <c r="B1487" s="50">
        <v>0.5640393518518518</v>
      </c>
      <c r="C1487" t="s">
        <v>155</v>
      </c>
      <c r="D1487" t="s">
        <v>155</v>
      </c>
      <c r="E1487" t="s">
        <v>32</v>
      </c>
      <c r="F1487" t="s">
        <v>724</v>
      </c>
      <c r="G1487">
        <v>-50000</v>
      </c>
      <c r="H1487" t="s">
        <v>153</v>
      </c>
      <c r="I1487" t="s">
        <v>157</v>
      </c>
    </row>
    <row r="1488" spans="1:9">
      <c r="A1488" s="49">
        <v>45890</v>
      </c>
      <c r="B1488" s="50">
        <v>0.5515972222222222</v>
      </c>
      <c r="C1488" t="s">
        <v>150</v>
      </c>
      <c r="D1488" t="s">
        <v>42</v>
      </c>
      <c r="E1488" t="s">
        <v>151</v>
      </c>
      <c r="F1488" t="s">
        <v>152</v>
      </c>
      <c r="G1488">
        <v>-11600</v>
      </c>
      <c r="H1488" t="s">
        <v>153</v>
      </c>
      <c r="I1488" t="s">
        <v>64</v>
      </c>
    </row>
    <row r="1489" spans="1:9">
      <c r="A1489" s="49">
        <v>45890</v>
      </c>
      <c r="B1489" s="50">
        <v>0.460150462962963</v>
      </c>
      <c r="C1489" t="s">
        <v>155</v>
      </c>
      <c r="D1489" t="s">
        <v>155</v>
      </c>
      <c r="E1489" t="s">
        <v>32</v>
      </c>
      <c r="F1489" t="s">
        <v>684</v>
      </c>
      <c r="G1489">
        <v>300000</v>
      </c>
      <c r="H1489" t="s">
        <v>153</v>
      </c>
      <c r="I1489" t="s">
        <v>64</v>
      </c>
    </row>
    <row r="1490" spans="1:9">
      <c r="A1490" s="49">
        <v>45890</v>
      </c>
      <c r="B1490" s="50">
        <v>0.3544097222222222</v>
      </c>
      <c r="C1490" t="s">
        <v>155</v>
      </c>
      <c r="D1490" t="s">
        <v>155</v>
      </c>
      <c r="E1490" t="s">
        <v>32</v>
      </c>
      <c r="F1490" t="s">
        <v>725</v>
      </c>
      <c r="G1490">
        <v>499000</v>
      </c>
      <c r="H1490" t="s">
        <v>153</v>
      </c>
      <c r="I1490" t="s">
        <v>64</v>
      </c>
    </row>
    <row r="1491" spans="1:9">
      <c r="A1491" s="49">
        <v>45889</v>
      </c>
      <c r="B1491" s="50">
        <v>0.8226273148148148</v>
      </c>
      <c r="C1491" t="s">
        <v>155</v>
      </c>
      <c r="D1491" t="s">
        <v>155</v>
      </c>
      <c r="E1491" t="s">
        <v>32</v>
      </c>
      <c r="F1491" t="s">
        <v>726</v>
      </c>
      <c r="G1491">
        <v>499000</v>
      </c>
      <c r="H1491" t="s">
        <v>153</v>
      </c>
      <c r="I1491" t="s">
        <v>64</v>
      </c>
    </row>
    <row r="1492" spans="1:9">
      <c r="A1492" s="49">
        <v>45889</v>
      </c>
      <c r="B1492" s="50">
        <v>0.7530902777777778</v>
      </c>
      <c r="C1492" t="s">
        <v>150</v>
      </c>
      <c r="D1492" t="s">
        <v>42</v>
      </c>
      <c r="E1492" t="s">
        <v>495</v>
      </c>
      <c r="F1492" t="s">
        <v>727</v>
      </c>
      <c r="G1492">
        <v>-13000</v>
      </c>
      <c r="H1492" t="s">
        <v>153</v>
      </c>
      <c r="I1492" t="s">
        <v>214</v>
      </c>
    </row>
    <row r="1493" spans="1:9">
      <c r="A1493" s="49">
        <v>45889</v>
      </c>
      <c r="B1493" s="50">
        <v>0.707488425925926</v>
      </c>
      <c r="C1493" t="s">
        <v>150</v>
      </c>
      <c r="D1493" t="s">
        <v>35</v>
      </c>
      <c r="E1493" t="s">
        <v>174</v>
      </c>
      <c r="F1493" t="s">
        <v>314</v>
      </c>
      <c r="G1493">
        <v>-10000</v>
      </c>
      <c r="H1493" t="s">
        <v>153</v>
      </c>
      <c r="I1493" t="s">
        <v>64</v>
      </c>
    </row>
    <row r="1494" spans="1:9">
      <c r="A1494" s="49">
        <v>45889</v>
      </c>
      <c r="B1494" s="50">
        <v>0.6541435185185185</v>
      </c>
      <c r="C1494" t="s">
        <v>150</v>
      </c>
      <c r="D1494" t="s">
        <v>44</v>
      </c>
      <c r="E1494" t="s">
        <v>225</v>
      </c>
      <c r="F1494" t="s">
        <v>728</v>
      </c>
      <c r="G1494">
        <v>-23500</v>
      </c>
      <c r="H1494" t="s">
        <v>153</v>
      </c>
      <c r="I1494" t="s">
        <v>214</v>
      </c>
    </row>
    <row r="1495" spans="1:9">
      <c r="A1495" s="49">
        <v>45889</v>
      </c>
      <c r="B1495" s="50">
        <v>0.636099537037037</v>
      </c>
      <c r="C1495" t="s">
        <v>150</v>
      </c>
      <c r="D1495" t="s">
        <v>37</v>
      </c>
      <c r="E1495" t="s">
        <v>610</v>
      </c>
      <c r="F1495" t="s">
        <v>729</v>
      </c>
      <c r="G1495">
        <v>-3000</v>
      </c>
      <c r="H1495" t="s">
        <v>153</v>
      </c>
      <c r="I1495" t="s">
        <v>214</v>
      </c>
    </row>
    <row r="1496" spans="1:9">
      <c r="A1496" s="49">
        <v>45889</v>
      </c>
      <c r="B1496" s="50">
        <v>0.04537037037037037</v>
      </c>
      <c r="C1496" t="s">
        <v>150</v>
      </c>
      <c r="D1496" t="s">
        <v>36</v>
      </c>
      <c r="E1496" t="s">
        <v>377</v>
      </c>
      <c r="F1496" t="s">
        <v>730</v>
      </c>
      <c r="G1496">
        <v>-50000</v>
      </c>
      <c r="H1496" t="s">
        <v>153</v>
      </c>
      <c r="I1496" t="s">
        <v>64</v>
      </c>
    </row>
    <row r="1497" spans="1:9">
      <c r="A1497" s="49">
        <v>45889</v>
      </c>
      <c r="B1497" s="50">
        <v>0.02325231481481482</v>
      </c>
      <c r="C1497" t="s">
        <v>150</v>
      </c>
      <c r="D1497" t="s">
        <v>39</v>
      </c>
      <c r="E1497" t="s">
        <v>621</v>
      </c>
      <c r="F1497" t="s">
        <v>731</v>
      </c>
      <c r="G1497">
        <v>-49000</v>
      </c>
      <c r="H1497" t="s">
        <v>153</v>
      </c>
      <c r="I1497" t="s">
        <v>214</v>
      </c>
    </row>
    <row r="1498" spans="1:9">
      <c r="A1498" s="49">
        <v>45889</v>
      </c>
      <c r="B1498" s="50">
        <v>0.0178587962962963</v>
      </c>
      <c r="C1498" t="s">
        <v>150</v>
      </c>
      <c r="D1498" t="s">
        <v>35</v>
      </c>
      <c r="E1498" t="s">
        <v>174</v>
      </c>
      <c r="F1498" t="s">
        <v>314</v>
      </c>
      <c r="G1498">
        <v>-20000</v>
      </c>
      <c r="H1498" t="s">
        <v>153</v>
      </c>
      <c r="I1498" t="s">
        <v>64</v>
      </c>
    </row>
    <row r="1499" spans="1:9">
      <c r="A1499" s="49">
        <v>45888</v>
      </c>
      <c r="B1499" s="50">
        <v>0.9652314814814815</v>
      </c>
      <c r="C1499" t="s">
        <v>150</v>
      </c>
      <c r="D1499" t="s">
        <v>40</v>
      </c>
      <c r="E1499" t="s">
        <v>172</v>
      </c>
      <c r="F1499" t="s">
        <v>732</v>
      </c>
      <c r="G1499">
        <v>-5000</v>
      </c>
      <c r="H1499" t="s">
        <v>153</v>
      </c>
      <c r="I1499" t="s">
        <v>214</v>
      </c>
    </row>
    <row r="1500" spans="1:9">
      <c r="A1500" s="49">
        <v>45888</v>
      </c>
      <c r="B1500" s="50">
        <v>0.8651041666666667</v>
      </c>
      <c r="C1500" t="s">
        <v>150</v>
      </c>
      <c r="D1500" t="s">
        <v>35</v>
      </c>
      <c r="E1500" t="s">
        <v>174</v>
      </c>
      <c r="F1500" t="s">
        <v>314</v>
      </c>
      <c r="G1500">
        <v>-10000</v>
      </c>
      <c r="H1500" t="s">
        <v>153</v>
      </c>
      <c r="I1500" t="s">
        <v>64</v>
      </c>
    </row>
    <row r="1501" spans="1:9">
      <c r="A1501" s="49">
        <v>45888</v>
      </c>
      <c r="B1501" s="50">
        <v>0.8520717592592593</v>
      </c>
      <c r="C1501" t="s">
        <v>155</v>
      </c>
      <c r="D1501" t="s">
        <v>155</v>
      </c>
      <c r="E1501" t="s">
        <v>32</v>
      </c>
      <c r="F1501" t="s">
        <v>733</v>
      </c>
      <c r="G1501">
        <v>499000</v>
      </c>
      <c r="H1501" t="s">
        <v>153</v>
      </c>
      <c r="I1501" t="s">
        <v>64</v>
      </c>
    </row>
    <row r="1502" spans="1:9">
      <c r="A1502" s="49">
        <v>45888</v>
      </c>
      <c r="B1502" s="50">
        <v>0.7077546296296297</v>
      </c>
      <c r="C1502" t="s">
        <v>150</v>
      </c>
      <c r="D1502" t="s">
        <v>35</v>
      </c>
      <c r="E1502" t="s">
        <v>174</v>
      </c>
      <c r="F1502" t="s">
        <v>314</v>
      </c>
      <c r="G1502">
        <v>-10000</v>
      </c>
      <c r="H1502" t="s">
        <v>153</v>
      </c>
      <c r="I1502" t="s">
        <v>64</v>
      </c>
    </row>
    <row r="1503" spans="1:9">
      <c r="A1503" s="49">
        <v>45888</v>
      </c>
      <c r="B1503" s="50">
        <v>0.6336574074074074</v>
      </c>
      <c r="C1503" t="s">
        <v>150</v>
      </c>
      <c r="D1503" t="s">
        <v>35</v>
      </c>
      <c r="E1503" t="s">
        <v>174</v>
      </c>
      <c r="F1503" t="s">
        <v>314</v>
      </c>
      <c r="G1503">
        <v>-10000</v>
      </c>
      <c r="H1503" t="s">
        <v>153</v>
      </c>
      <c r="I1503" t="s">
        <v>64</v>
      </c>
    </row>
    <row r="1504" spans="1:9">
      <c r="A1504" s="49">
        <v>45888</v>
      </c>
      <c r="B1504" s="50">
        <v>0.6274305555555556</v>
      </c>
      <c r="C1504" t="s">
        <v>150</v>
      </c>
      <c r="D1504" t="s">
        <v>43</v>
      </c>
      <c r="E1504" t="s">
        <v>409</v>
      </c>
      <c r="F1504" t="s">
        <v>734</v>
      </c>
      <c r="G1504">
        <v>-9000</v>
      </c>
      <c r="H1504" t="s">
        <v>153</v>
      </c>
      <c r="I1504" t="s">
        <v>214</v>
      </c>
    </row>
    <row r="1505" spans="1:9">
      <c r="A1505" s="49">
        <v>45888</v>
      </c>
      <c r="B1505" s="50">
        <v>0.5423726851851852</v>
      </c>
      <c r="C1505" t="s">
        <v>150</v>
      </c>
      <c r="D1505" t="s">
        <v>48</v>
      </c>
      <c r="E1505" t="s">
        <v>574</v>
      </c>
      <c r="F1505" t="s">
        <v>735</v>
      </c>
      <c r="G1505">
        <v>-3000</v>
      </c>
      <c r="H1505" t="s">
        <v>153</v>
      </c>
      <c r="I1505" t="s">
        <v>214</v>
      </c>
    </row>
    <row r="1506" spans="1:9">
      <c r="A1506" s="49">
        <v>45888</v>
      </c>
      <c r="B1506" s="50">
        <v>0.5219560185185185</v>
      </c>
      <c r="C1506" t="s">
        <v>150</v>
      </c>
      <c r="D1506" t="s">
        <v>48</v>
      </c>
      <c r="E1506" t="s">
        <v>574</v>
      </c>
      <c r="F1506" t="s">
        <v>735</v>
      </c>
      <c r="G1506">
        <v>-2000</v>
      </c>
      <c r="H1506" t="s">
        <v>153</v>
      </c>
      <c r="I1506" t="s">
        <v>214</v>
      </c>
    </row>
    <row r="1507" spans="1:9">
      <c r="A1507" s="49">
        <v>45888</v>
      </c>
      <c r="B1507" s="50">
        <v>0.2525694444444445</v>
      </c>
      <c r="C1507" t="s">
        <v>150</v>
      </c>
      <c r="D1507" t="s">
        <v>37</v>
      </c>
      <c r="E1507" t="s">
        <v>201</v>
      </c>
      <c r="F1507" t="s">
        <v>736</v>
      </c>
      <c r="G1507">
        <v>-141729</v>
      </c>
      <c r="H1507" t="s">
        <v>153</v>
      </c>
      <c r="I1507" t="s">
        <v>214</v>
      </c>
    </row>
    <row r="1508" spans="1:9">
      <c r="A1508" s="49">
        <v>45888</v>
      </c>
      <c r="B1508" s="50">
        <v>0.1091435185185185</v>
      </c>
      <c r="C1508" t="s">
        <v>155</v>
      </c>
      <c r="D1508" t="s">
        <v>158</v>
      </c>
      <c r="E1508" t="s">
        <v>32</v>
      </c>
      <c r="F1508" t="s">
        <v>159</v>
      </c>
      <c r="G1508">
        <v>804400</v>
      </c>
      <c r="H1508" t="s">
        <v>153</v>
      </c>
      <c r="I1508" t="s">
        <v>157</v>
      </c>
    </row>
    <row r="1509" spans="1:9">
      <c r="A1509" s="49">
        <v>45888</v>
      </c>
      <c r="B1509" s="50">
        <v>0.1091435185185185</v>
      </c>
      <c r="C1509" t="s">
        <v>155</v>
      </c>
      <c r="D1509" t="s">
        <v>158</v>
      </c>
      <c r="E1509" t="s">
        <v>32</v>
      </c>
      <c r="F1509" t="s">
        <v>160</v>
      </c>
      <c r="G1509">
        <v>-804400</v>
      </c>
      <c r="H1509" t="s">
        <v>153</v>
      </c>
      <c r="I1509" t="s">
        <v>64</v>
      </c>
    </row>
    <row r="1510" spans="1:9">
      <c r="A1510" s="49">
        <v>45888</v>
      </c>
      <c r="B1510" s="50">
        <v>0.1091319444444444</v>
      </c>
      <c r="C1510" t="s">
        <v>155</v>
      </c>
      <c r="D1510" t="s">
        <v>158</v>
      </c>
      <c r="E1510" t="s">
        <v>32</v>
      </c>
      <c r="F1510" t="s">
        <v>159</v>
      </c>
      <c r="G1510">
        <v>2000000</v>
      </c>
      <c r="H1510" t="s">
        <v>153</v>
      </c>
      <c r="I1510" t="s">
        <v>157</v>
      </c>
    </row>
    <row r="1511" spans="1:9">
      <c r="A1511" s="49">
        <v>45888</v>
      </c>
      <c r="B1511" s="50">
        <v>0.1091319444444444</v>
      </c>
      <c r="C1511" t="s">
        <v>155</v>
      </c>
      <c r="D1511" t="s">
        <v>158</v>
      </c>
      <c r="E1511" t="s">
        <v>32</v>
      </c>
      <c r="F1511" t="s">
        <v>160</v>
      </c>
      <c r="G1511">
        <v>-2000000</v>
      </c>
      <c r="H1511" t="s">
        <v>153</v>
      </c>
      <c r="I1511" t="s">
        <v>64</v>
      </c>
    </row>
    <row r="1512" spans="1:9">
      <c r="A1512" s="49">
        <v>45888</v>
      </c>
      <c r="B1512" s="50">
        <v>0.1091319444444444</v>
      </c>
      <c r="C1512" t="s">
        <v>155</v>
      </c>
      <c r="D1512" t="s">
        <v>158</v>
      </c>
      <c r="E1512" t="s">
        <v>32</v>
      </c>
      <c r="F1512" t="s">
        <v>160</v>
      </c>
      <c r="G1512">
        <v>-2000000</v>
      </c>
      <c r="H1512" t="s">
        <v>153</v>
      </c>
      <c r="I1512" t="s">
        <v>64</v>
      </c>
    </row>
    <row r="1513" spans="1:9">
      <c r="A1513" s="49">
        <v>45888</v>
      </c>
      <c r="B1513" s="50">
        <v>0.1091203703703704</v>
      </c>
      <c r="C1513" t="s">
        <v>155</v>
      </c>
      <c r="D1513" t="s">
        <v>158</v>
      </c>
      <c r="E1513" t="s">
        <v>32</v>
      </c>
      <c r="F1513" t="s">
        <v>159</v>
      </c>
      <c r="G1513">
        <v>2000000</v>
      </c>
      <c r="H1513" t="s">
        <v>153</v>
      </c>
      <c r="I1513" t="s">
        <v>157</v>
      </c>
    </row>
    <row r="1514" spans="1:9">
      <c r="A1514" s="49">
        <v>45887</v>
      </c>
      <c r="B1514" s="50">
        <v>0.7753125</v>
      </c>
      <c r="C1514" t="s">
        <v>155</v>
      </c>
      <c r="D1514" t="s">
        <v>241</v>
      </c>
      <c r="E1514" t="s">
        <v>32</v>
      </c>
      <c r="F1514" t="s">
        <v>688</v>
      </c>
      <c r="G1514">
        <v>9670000</v>
      </c>
      <c r="H1514" t="s">
        <v>153</v>
      </c>
      <c r="I1514" t="s">
        <v>64</v>
      </c>
    </row>
    <row r="1515" spans="1:9">
      <c r="A1515" s="49">
        <v>45887</v>
      </c>
      <c r="B1515" s="50">
        <v>0.6814814814814815</v>
      </c>
      <c r="C1515" t="s">
        <v>150</v>
      </c>
      <c r="D1515" t="s">
        <v>44</v>
      </c>
      <c r="E1515" t="s">
        <v>315</v>
      </c>
      <c r="F1515" t="s">
        <v>316</v>
      </c>
      <c r="G1515">
        <v>-6600</v>
      </c>
      <c r="H1515" t="s">
        <v>153</v>
      </c>
      <c r="I1515" t="s">
        <v>164</v>
      </c>
    </row>
    <row r="1516" spans="1:9">
      <c r="A1516" s="49">
        <v>45887</v>
      </c>
      <c r="B1516" s="50">
        <v>0.6334606481481482</v>
      </c>
      <c r="C1516" t="s">
        <v>155</v>
      </c>
      <c r="D1516" t="s">
        <v>155</v>
      </c>
      <c r="E1516" t="s">
        <v>32</v>
      </c>
      <c r="F1516" t="s">
        <v>737</v>
      </c>
      <c r="G1516">
        <v>499000</v>
      </c>
      <c r="H1516" t="s">
        <v>153</v>
      </c>
      <c r="I1516" t="s">
        <v>64</v>
      </c>
    </row>
    <row r="1517" spans="1:9">
      <c r="A1517" s="49">
        <v>45887</v>
      </c>
      <c r="B1517" s="50">
        <v>0.3630439814814815</v>
      </c>
      <c r="C1517" t="s">
        <v>150</v>
      </c>
      <c r="D1517" t="s">
        <v>43</v>
      </c>
      <c r="E1517" t="s">
        <v>409</v>
      </c>
      <c r="F1517" t="s">
        <v>738</v>
      </c>
      <c r="G1517">
        <v>-2500</v>
      </c>
      <c r="H1517" t="s">
        <v>153</v>
      </c>
      <c r="I1517" t="s">
        <v>214</v>
      </c>
    </row>
    <row r="1518" spans="1:9">
      <c r="A1518" s="49">
        <v>45887</v>
      </c>
      <c r="B1518" s="50">
        <v>0.2381828703703704</v>
      </c>
      <c r="C1518" t="s">
        <v>150</v>
      </c>
      <c r="D1518" t="s">
        <v>35</v>
      </c>
      <c r="E1518" t="s">
        <v>174</v>
      </c>
      <c r="F1518" t="s">
        <v>314</v>
      </c>
      <c r="G1518">
        <v>-20000</v>
      </c>
      <c r="H1518" t="s">
        <v>153</v>
      </c>
      <c r="I1518" t="s">
        <v>64</v>
      </c>
    </row>
    <row r="1519" spans="1:9">
      <c r="A1519" s="49">
        <v>45886</v>
      </c>
      <c r="B1519" s="50">
        <v>0.915150462962963</v>
      </c>
      <c r="C1519" t="s">
        <v>150</v>
      </c>
      <c r="D1519" t="s">
        <v>35</v>
      </c>
      <c r="E1519" t="s">
        <v>169</v>
      </c>
      <c r="F1519" t="s">
        <v>739</v>
      </c>
      <c r="G1519">
        <v>-765</v>
      </c>
      <c r="H1519" t="s">
        <v>153</v>
      </c>
      <c r="I1519" t="s">
        <v>164</v>
      </c>
    </row>
    <row r="1520" spans="1:9">
      <c r="A1520" s="49">
        <v>45886</v>
      </c>
      <c r="B1520" s="50">
        <v>0.8932523148148148</v>
      </c>
      <c r="C1520" t="s">
        <v>155</v>
      </c>
      <c r="D1520" t="s">
        <v>155</v>
      </c>
      <c r="E1520" t="s">
        <v>32</v>
      </c>
      <c r="F1520" t="s">
        <v>740</v>
      </c>
      <c r="G1520">
        <v>499000</v>
      </c>
      <c r="H1520" t="s">
        <v>153</v>
      </c>
      <c r="I1520" t="s">
        <v>64</v>
      </c>
    </row>
    <row r="1521" spans="1:9">
      <c r="A1521" s="49">
        <v>45886</v>
      </c>
      <c r="B1521" s="50">
        <v>0.6581134259259259</v>
      </c>
      <c r="C1521" t="s">
        <v>155</v>
      </c>
      <c r="D1521" t="s">
        <v>155</v>
      </c>
      <c r="E1521" t="s">
        <v>32</v>
      </c>
      <c r="F1521" t="s">
        <v>246</v>
      </c>
      <c r="G1521">
        <v>-16200</v>
      </c>
      <c r="H1521" t="s">
        <v>153</v>
      </c>
      <c r="I1521" t="s">
        <v>64</v>
      </c>
    </row>
    <row r="1522" spans="1:9">
      <c r="A1522" s="49">
        <v>45886</v>
      </c>
      <c r="B1522" s="50">
        <v>0.6306944444444444</v>
      </c>
      <c r="C1522" t="s">
        <v>150</v>
      </c>
      <c r="D1522" t="s">
        <v>48</v>
      </c>
      <c r="E1522" t="s">
        <v>185</v>
      </c>
      <c r="F1522" t="s">
        <v>186</v>
      </c>
      <c r="G1522">
        <v>-6000</v>
      </c>
      <c r="H1522" t="s">
        <v>153</v>
      </c>
      <c r="I1522" t="s">
        <v>214</v>
      </c>
    </row>
    <row r="1523" spans="1:9">
      <c r="A1523" s="49">
        <v>45886</v>
      </c>
      <c r="B1523" s="50">
        <v>0.6288425925925926</v>
      </c>
      <c r="C1523" t="s">
        <v>150</v>
      </c>
      <c r="D1523" t="s">
        <v>35</v>
      </c>
      <c r="E1523" t="s">
        <v>169</v>
      </c>
      <c r="F1523" t="s">
        <v>739</v>
      </c>
      <c r="G1523">
        <v>-1212</v>
      </c>
      <c r="H1523" t="s">
        <v>153</v>
      </c>
      <c r="I1523" t="s">
        <v>164</v>
      </c>
    </row>
    <row r="1524" spans="1:9">
      <c r="A1524" s="49">
        <v>45886</v>
      </c>
      <c r="B1524" s="50">
        <v>0.5885069444444444</v>
      </c>
      <c r="C1524" t="s">
        <v>155</v>
      </c>
      <c r="D1524" t="s">
        <v>155</v>
      </c>
      <c r="E1524" t="s">
        <v>32</v>
      </c>
      <c r="F1524" t="s">
        <v>741</v>
      </c>
      <c r="G1524">
        <v>-400000</v>
      </c>
      <c r="H1524" t="s">
        <v>153</v>
      </c>
      <c r="I1524" t="s">
        <v>64</v>
      </c>
    </row>
    <row r="1525" spans="1:9">
      <c r="A1525" s="49">
        <v>45886</v>
      </c>
      <c r="B1525" s="50">
        <v>0.4671643518518518</v>
      </c>
      <c r="C1525" t="s">
        <v>150</v>
      </c>
      <c r="D1525" t="s">
        <v>36</v>
      </c>
      <c r="E1525" t="s">
        <v>191</v>
      </c>
      <c r="F1525" t="s">
        <v>192</v>
      </c>
      <c r="G1525">
        <v>-28200</v>
      </c>
      <c r="H1525" t="s">
        <v>153</v>
      </c>
      <c r="I1525" t="s">
        <v>157</v>
      </c>
    </row>
    <row r="1526" spans="1:9">
      <c r="A1526" s="49">
        <v>45886</v>
      </c>
      <c r="B1526" s="50">
        <v>0.4514930555555556</v>
      </c>
      <c r="C1526" t="s">
        <v>155</v>
      </c>
      <c r="D1526" t="s">
        <v>229</v>
      </c>
      <c r="E1526" t="s">
        <v>32</v>
      </c>
      <c r="F1526" t="s">
        <v>742</v>
      </c>
      <c r="G1526">
        <v>390000</v>
      </c>
      <c r="H1526" t="s">
        <v>153</v>
      </c>
      <c r="I1526" t="s">
        <v>64</v>
      </c>
    </row>
    <row r="1527" spans="1:9">
      <c r="A1527" s="49">
        <v>45885</v>
      </c>
      <c r="B1527" s="50">
        <v>0.990462962962963</v>
      </c>
      <c r="C1527" t="s">
        <v>150</v>
      </c>
      <c r="D1527" t="s">
        <v>42</v>
      </c>
      <c r="E1527" t="s">
        <v>151</v>
      </c>
      <c r="F1527" t="s">
        <v>152</v>
      </c>
      <c r="G1527">
        <v>-9400</v>
      </c>
      <c r="H1527" t="s">
        <v>153</v>
      </c>
      <c r="I1527" t="s">
        <v>64</v>
      </c>
    </row>
    <row r="1528" spans="1:9">
      <c r="A1528" s="49">
        <v>45885</v>
      </c>
      <c r="B1528" s="50">
        <v>0.9572106481481482</v>
      </c>
      <c r="C1528" t="s">
        <v>150</v>
      </c>
      <c r="D1528" t="s">
        <v>35</v>
      </c>
      <c r="E1528" t="s">
        <v>169</v>
      </c>
      <c r="F1528" t="s">
        <v>170</v>
      </c>
      <c r="G1528">
        <v>-1350</v>
      </c>
      <c r="H1528" t="s">
        <v>153</v>
      </c>
      <c r="I1528" t="s">
        <v>171</v>
      </c>
    </row>
    <row r="1529" spans="1:9">
      <c r="A1529" s="49">
        <v>45885</v>
      </c>
      <c r="B1529" s="50">
        <v>0.9572106481481482</v>
      </c>
      <c r="C1529" t="s">
        <v>167</v>
      </c>
      <c r="D1529" t="s">
        <v>31</v>
      </c>
      <c r="E1529" t="s">
        <v>32</v>
      </c>
      <c r="F1529" t="s">
        <v>168</v>
      </c>
      <c r="G1529">
        <v>3000</v>
      </c>
      <c r="H1529" t="s">
        <v>153</v>
      </c>
      <c r="I1529" t="s">
        <v>64</v>
      </c>
    </row>
    <row r="1530" spans="1:9">
      <c r="A1530" s="49">
        <v>45885</v>
      </c>
      <c r="B1530" s="50">
        <v>0.9539814814814814</v>
      </c>
      <c r="C1530" t="s">
        <v>150</v>
      </c>
      <c r="D1530" t="s">
        <v>35</v>
      </c>
      <c r="E1530" t="s">
        <v>169</v>
      </c>
      <c r="F1530" t="s">
        <v>170</v>
      </c>
      <c r="G1530">
        <v>3000</v>
      </c>
      <c r="H1530" t="s">
        <v>153</v>
      </c>
      <c r="I1530" t="s">
        <v>171</v>
      </c>
    </row>
    <row r="1531" spans="1:9">
      <c r="A1531" s="49">
        <v>45885</v>
      </c>
      <c r="B1531" s="50">
        <v>0.9539814814814814</v>
      </c>
      <c r="C1531" t="s">
        <v>150</v>
      </c>
      <c r="D1531" t="s">
        <v>40</v>
      </c>
      <c r="E1531" t="s">
        <v>172</v>
      </c>
      <c r="F1531" t="s">
        <v>173</v>
      </c>
      <c r="G1531">
        <v>-3000</v>
      </c>
      <c r="H1531" t="s">
        <v>153</v>
      </c>
      <c r="I1531" t="s">
        <v>64</v>
      </c>
    </row>
    <row r="1532" spans="1:9">
      <c r="A1532" s="49">
        <v>45885</v>
      </c>
      <c r="B1532" s="50">
        <v>0.7285069444444444</v>
      </c>
      <c r="C1532" t="s">
        <v>167</v>
      </c>
      <c r="D1532" t="s">
        <v>31</v>
      </c>
      <c r="E1532" t="s">
        <v>32</v>
      </c>
      <c r="F1532" t="s">
        <v>168</v>
      </c>
      <c r="G1532">
        <v>3000</v>
      </c>
      <c r="H1532" t="s">
        <v>153</v>
      </c>
      <c r="I1532" t="s">
        <v>64</v>
      </c>
    </row>
    <row r="1533" spans="1:9">
      <c r="A1533" s="49">
        <v>45885</v>
      </c>
      <c r="B1533" s="50">
        <v>0.7284953703703704</v>
      </c>
      <c r="C1533" t="s">
        <v>150</v>
      </c>
      <c r="D1533" t="s">
        <v>35</v>
      </c>
      <c r="E1533" t="s">
        <v>169</v>
      </c>
      <c r="F1533" t="s">
        <v>170</v>
      </c>
      <c r="G1533">
        <v>-1150</v>
      </c>
      <c r="H1533" t="s">
        <v>153</v>
      </c>
      <c r="I1533" t="s">
        <v>171</v>
      </c>
    </row>
    <row r="1534" spans="1:9">
      <c r="A1534" s="49">
        <v>45885</v>
      </c>
      <c r="B1534" s="50">
        <v>0.7256597222222222</v>
      </c>
      <c r="C1534" t="s">
        <v>150</v>
      </c>
      <c r="D1534" t="s">
        <v>35</v>
      </c>
      <c r="E1534" t="s">
        <v>169</v>
      </c>
      <c r="F1534" t="s">
        <v>170</v>
      </c>
      <c r="G1534">
        <v>3000</v>
      </c>
      <c r="H1534" t="s">
        <v>153</v>
      </c>
      <c r="I1534" t="s">
        <v>171</v>
      </c>
    </row>
    <row r="1535" spans="1:9">
      <c r="A1535" s="49">
        <v>45885</v>
      </c>
      <c r="B1535" s="50">
        <v>0.7256597222222222</v>
      </c>
      <c r="C1535" t="s">
        <v>150</v>
      </c>
      <c r="D1535" t="s">
        <v>40</v>
      </c>
      <c r="E1535" t="s">
        <v>172</v>
      </c>
      <c r="F1535" t="s">
        <v>173</v>
      </c>
      <c r="G1535">
        <v>-3000</v>
      </c>
      <c r="H1535" t="s">
        <v>153</v>
      </c>
      <c r="I1535" t="s">
        <v>64</v>
      </c>
    </row>
    <row r="1536" spans="1:9">
      <c r="A1536" s="49">
        <v>45885</v>
      </c>
      <c r="B1536" s="50">
        <v>0.5835648148148148</v>
      </c>
      <c r="C1536" t="s">
        <v>150</v>
      </c>
      <c r="D1536" t="s">
        <v>48</v>
      </c>
      <c r="E1536" t="s">
        <v>185</v>
      </c>
      <c r="F1536" t="s">
        <v>186</v>
      </c>
      <c r="G1536">
        <v>-6500</v>
      </c>
      <c r="H1536" t="s">
        <v>153</v>
      </c>
      <c r="I1536" t="s">
        <v>214</v>
      </c>
    </row>
    <row r="1537" spans="1:9">
      <c r="A1537" s="49">
        <v>45885</v>
      </c>
      <c r="B1537" s="50">
        <v>0.5774305555555556</v>
      </c>
      <c r="C1537" t="s">
        <v>150</v>
      </c>
      <c r="D1537" t="s">
        <v>35</v>
      </c>
      <c r="E1537" t="s">
        <v>169</v>
      </c>
      <c r="F1537" t="s">
        <v>739</v>
      </c>
      <c r="G1537">
        <v>-1059</v>
      </c>
      <c r="H1537" t="s">
        <v>153</v>
      </c>
      <c r="I1537" t="s">
        <v>164</v>
      </c>
    </row>
    <row r="1538" spans="1:9">
      <c r="A1538" s="49">
        <v>45885</v>
      </c>
      <c r="B1538" s="50">
        <v>0.08133101851851852</v>
      </c>
      <c r="C1538" t="s">
        <v>155</v>
      </c>
      <c r="D1538" t="s">
        <v>155</v>
      </c>
      <c r="E1538" t="s">
        <v>32</v>
      </c>
      <c r="F1538" t="s">
        <v>743</v>
      </c>
      <c r="G1538">
        <v>499000</v>
      </c>
      <c r="H1538" t="s">
        <v>153</v>
      </c>
      <c r="I1538" t="s">
        <v>64</v>
      </c>
    </row>
    <row r="1539" spans="1:9">
      <c r="A1539" s="49">
        <v>45884</v>
      </c>
      <c r="B1539" s="50">
        <v>0.9795949074074074</v>
      </c>
      <c r="C1539" t="s">
        <v>155</v>
      </c>
      <c r="D1539" t="s">
        <v>158</v>
      </c>
      <c r="E1539" t="s">
        <v>32</v>
      </c>
      <c r="F1539" t="s">
        <v>160</v>
      </c>
      <c r="G1539">
        <v>-2000000</v>
      </c>
      <c r="H1539" t="s">
        <v>153</v>
      </c>
      <c r="I1539" t="s">
        <v>64</v>
      </c>
    </row>
    <row r="1540" spans="1:9">
      <c r="A1540" s="49">
        <v>45884</v>
      </c>
      <c r="B1540" s="50">
        <v>0.9795949074074074</v>
      </c>
      <c r="C1540" t="s">
        <v>155</v>
      </c>
      <c r="D1540" t="s">
        <v>158</v>
      </c>
      <c r="E1540" t="s">
        <v>32</v>
      </c>
      <c r="F1540" t="s">
        <v>159</v>
      </c>
      <c r="G1540">
        <v>2000000</v>
      </c>
      <c r="H1540" t="s">
        <v>153</v>
      </c>
      <c r="I1540" t="s">
        <v>157</v>
      </c>
    </row>
    <row r="1541" spans="1:9">
      <c r="A1541" s="49">
        <v>45884</v>
      </c>
      <c r="B1541" s="50">
        <v>0.9795833333333334</v>
      </c>
      <c r="C1541" t="s">
        <v>155</v>
      </c>
      <c r="D1541" t="s">
        <v>158</v>
      </c>
      <c r="E1541" t="s">
        <v>32</v>
      </c>
      <c r="F1541" t="s">
        <v>159</v>
      </c>
      <c r="G1541">
        <v>2000000</v>
      </c>
      <c r="H1541" t="s">
        <v>153</v>
      </c>
      <c r="I1541" t="s">
        <v>157</v>
      </c>
    </row>
    <row r="1542" spans="1:9">
      <c r="A1542" s="49">
        <v>45884</v>
      </c>
      <c r="B1542" s="50">
        <v>0.9795833333333334</v>
      </c>
      <c r="C1542" t="s">
        <v>155</v>
      </c>
      <c r="D1542" t="s">
        <v>158</v>
      </c>
      <c r="E1542" t="s">
        <v>32</v>
      </c>
      <c r="F1542" t="s">
        <v>159</v>
      </c>
      <c r="G1542">
        <v>2000000</v>
      </c>
      <c r="H1542" t="s">
        <v>153</v>
      </c>
      <c r="I1542" t="s">
        <v>157</v>
      </c>
    </row>
    <row r="1543" spans="1:9">
      <c r="A1543" s="49">
        <v>45884</v>
      </c>
      <c r="B1543" s="50">
        <v>0.9795833333333334</v>
      </c>
      <c r="C1543" t="s">
        <v>155</v>
      </c>
      <c r="D1543" t="s">
        <v>158</v>
      </c>
      <c r="E1543" t="s">
        <v>32</v>
      </c>
      <c r="F1543" t="s">
        <v>160</v>
      </c>
      <c r="G1543">
        <v>-2000000</v>
      </c>
      <c r="H1543" t="s">
        <v>153</v>
      </c>
      <c r="I1543" t="s">
        <v>64</v>
      </c>
    </row>
    <row r="1544" spans="1:9">
      <c r="A1544" s="49">
        <v>45884</v>
      </c>
      <c r="B1544" s="50">
        <v>0.9795833333333334</v>
      </c>
      <c r="C1544" t="s">
        <v>155</v>
      </c>
      <c r="D1544" t="s">
        <v>158</v>
      </c>
      <c r="E1544" t="s">
        <v>32</v>
      </c>
      <c r="F1544" t="s">
        <v>160</v>
      </c>
      <c r="G1544">
        <v>-2000000</v>
      </c>
      <c r="H1544" t="s">
        <v>153</v>
      </c>
      <c r="I1544" t="s">
        <v>64</v>
      </c>
    </row>
    <row r="1545" spans="1:9">
      <c r="A1545" s="49">
        <v>45884</v>
      </c>
      <c r="B1545" s="50">
        <v>0.9795717592592592</v>
      </c>
      <c r="C1545" t="s">
        <v>155</v>
      </c>
      <c r="D1545" t="s">
        <v>158</v>
      </c>
      <c r="E1545" t="s">
        <v>32</v>
      </c>
      <c r="F1545" t="s">
        <v>160</v>
      </c>
      <c r="G1545">
        <v>-2000000</v>
      </c>
      <c r="H1545" t="s">
        <v>153</v>
      </c>
      <c r="I1545" t="s">
        <v>64</v>
      </c>
    </row>
    <row r="1546" spans="1:9">
      <c r="A1546" s="49">
        <v>45884</v>
      </c>
      <c r="B1546" s="50">
        <v>0.9795601851851852</v>
      </c>
      <c r="C1546" t="s">
        <v>155</v>
      </c>
      <c r="D1546" t="s">
        <v>158</v>
      </c>
      <c r="E1546" t="s">
        <v>32</v>
      </c>
      <c r="F1546" t="s">
        <v>159</v>
      </c>
      <c r="G1546">
        <v>2000000</v>
      </c>
      <c r="H1546" t="s">
        <v>153</v>
      </c>
      <c r="I1546" t="s">
        <v>157</v>
      </c>
    </row>
    <row r="1547" spans="1:9">
      <c r="A1547" s="49">
        <v>45884</v>
      </c>
      <c r="B1547" s="50">
        <v>0.9795601851851852</v>
      </c>
      <c r="C1547" t="s">
        <v>155</v>
      </c>
      <c r="D1547" t="s">
        <v>158</v>
      </c>
      <c r="E1547" t="s">
        <v>32</v>
      </c>
      <c r="F1547" t="s">
        <v>159</v>
      </c>
      <c r="G1547">
        <v>2000000</v>
      </c>
      <c r="H1547" t="s">
        <v>153</v>
      </c>
      <c r="I1547" t="s">
        <v>157</v>
      </c>
    </row>
    <row r="1548" spans="1:9">
      <c r="A1548" s="49">
        <v>45884</v>
      </c>
      <c r="B1548" s="50">
        <v>0.9795601851851852</v>
      </c>
      <c r="C1548" t="s">
        <v>155</v>
      </c>
      <c r="D1548" t="s">
        <v>158</v>
      </c>
      <c r="E1548" t="s">
        <v>32</v>
      </c>
      <c r="F1548" t="s">
        <v>160</v>
      </c>
      <c r="G1548">
        <v>-2000000</v>
      </c>
      <c r="H1548" t="s">
        <v>153</v>
      </c>
      <c r="I1548" t="s">
        <v>64</v>
      </c>
    </row>
    <row r="1549" spans="1:9">
      <c r="A1549" s="49">
        <v>45884</v>
      </c>
      <c r="B1549" s="50">
        <v>0.9194791666666666</v>
      </c>
      <c r="C1549" t="s">
        <v>150</v>
      </c>
      <c r="D1549" t="s">
        <v>35</v>
      </c>
      <c r="E1549" t="s">
        <v>174</v>
      </c>
      <c r="F1549" t="s">
        <v>314</v>
      </c>
      <c r="G1549">
        <v>-20000</v>
      </c>
      <c r="H1549" t="s">
        <v>153</v>
      </c>
      <c r="I1549" t="s">
        <v>64</v>
      </c>
    </row>
    <row r="1550" spans="1:9">
      <c r="A1550" s="49">
        <v>45884</v>
      </c>
      <c r="B1550" s="50">
        <v>0.8666087962962963</v>
      </c>
      <c r="C1550" t="s">
        <v>150</v>
      </c>
      <c r="D1550" t="s">
        <v>40</v>
      </c>
      <c r="E1550" t="s">
        <v>172</v>
      </c>
      <c r="F1550" t="s">
        <v>744</v>
      </c>
      <c r="G1550">
        <v>-10200</v>
      </c>
      <c r="H1550" t="s">
        <v>153</v>
      </c>
      <c r="I1550" t="s">
        <v>214</v>
      </c>
    </row>
    <row r="1551" spans="1:9">
      <c r="A1551" s="49">
        <v>45884</v>
      </c>
      <c r="B1551" s="50">
        <v>0.8313888888888888</v>
      </c>
      <c r="C1551" t="s">
        <v>155</v>
      </c>
      <c r="D1551" t="s">
        <v>155</v>
      </c>
      <c r="E1551" t="s">
        <v>32</v>
      </c>
      <c r="F1551" t="s">
        <v>745</v>
      </c>
      <c r="G1551">
        <v>499000</v>
      </c>
      <c r="H1551" t="s">
        <v>153</v>
      </c>
      <c r="I1551" t="s">
        <v>64</v>
      </c>
    </row>
    <row r="1552" spans="1:9">
      <c r="A1552" s="49">
        <v>45884</v>
      </c>
      <c r="B1552" s="50">
        <v>0.7539814814814815</v>
      </c>
      <c r="C1552" t="s">
        <v>150</v>
      </c>
      <c r="D1552" t="s">
        <v>41</v>
      </c>
      <c r="E1552" t="s">
        <v>746</v>
      </c>
      <c r="F1552" t="s">
        <v>747</v>
      </c>
      <c r="G1552">
        <v>-68000</v>
      </c>
      <c r="H1552" t="s">
        <v>153</v>
      </c>
      <c r="I1552" t="s">
        <v>214</v>
      </c>
    </row>
    <row r="1553" spans="1:9">
      <c r="A1553" s="49">
        <v>45884</v>
      </c>
      <c r="B1553" s="50">
        <v>0.7056712962962963</v>
      </c>
      <c r="C1553" t="s">
        <v>155</v>
      </c>
      <c r="D1553" t="s">
        <v>158</v>
      </c>
      <c r="E1553" t="s">
        <v>32</v>
      </c>
      <c r="F1553" t="s">
        <v>7</v>
      </c>
      <c r="G1553">
        <v>-10000000</v>
      </c>
      <c r="H1553" t="s">
        <v>153</v>
      </c>
      <c r="I1553" t="s">
        <v>64</v>
      </c>
    </row>
    <row r="1554" spans="1:9">
      <c r="A1554" s="49">
        <v>45884</v>
      </c>
      <c r="B1554" s="50">
        <v>0.6909953703703704</v>
      </c>
      <c r="C1554" t="s">
        <v>150</v>
      </c>
      <c r="D1554" t="s">
        <v>35</v>
      </c>
      <c r="E1554" t="s">
        <v>169</v>
      </c>
      <c r="F1554" t="s">
        <v>739</v>
      </c>
      <c r="G1554">
        <v>-1365</v>
      </c>
      <c r="H1554" t="s">
        <v>153</v>
      </c>
      <c r="I1554" t="s">
        <v>164</v>
      </c>
    </row>
    <row r="1555" spans="1:9">
      <c r="A1555" s="49">
        <v>45884</v>
      </c>
      <c r="B1555" s="50">
        <v>0.5718634259259259</v>
      </c>
      <c r="C1555" t="s">
        <v>150</v>
      </c>
      <c r="D1555" t="s">
        <v>48</v>
      </c>
      <c r="E1555" t="s">
        <v>185</v>
      </c>
      <c r="F1555" t="s">
        <v>186</v>
      </c>
      <c r="G1555">
        <v>-6000</v>
      </c>
      <c r="H1555" t="s">
        <v>153</v>
      </c>
      <c r="I1555" t="s">
        <v>214</v>
      </c>
    </row>
    <row r="1556" spans="1:9">
      <c r="A1556" s="49">
        <v>45884</v>
      </c>
      <c r="B1556" s="50">
        <v>0.570625</v>
      </c>
      <c r="C1556" t="s">
        <v>150</v>
      </c>
      <c r="D1556" t="s">
        <v>35</v>
      </c>
      <c r="E1556" t="s">
        <v>169</v>
      </c>
      <c r="F1556" t="s">
        <v>563</v>
      </c>
      <c r="G1556">
        <v>-1653</v>
      </c>
      <c r="H1556" t="s">
        <v>153</v>
      </c>
      <c r="I1556" t="s">
        <v>164</v>
      </c>
    </row>
    <row r="1557" spans="1:9">
      <c r="A1557" s="49">
        <v>45884</v>
      </c>
      <c r="B1557" s="50">
        <v>0.4981828703703703</v>
      </c>
      <c r="C1557" t="s">
        <v>150</v>
      </c>
      <c r="D1557" t="s">
        <v>44</v>
      </c>
      <c r="E1557" t="s">
        <v>260</v>
      </c>
      <c r="F1557" t="s">
        <v>363</v>
      </c>
      <c r="G1557">
        <v>-5000000</v>
      </c>
      <c r="H1557" t="s">
        <v>153</v>
      </c>
      <c r="I1557" t="s">
        <v>61</v>
      </c>
    </row>
    <row r="1558" spans="1:9">
      <c r="A1558" s="49">
        <v>45883</v>
      </c>
      <c r="B1558" s="50">
        <v>0.7063194444444445</v>
      </c>
      <c r="C1558" t="s">
        <v>155</v>
      </c>
      <c r="D1558" t="s">
        <v>155</v>
      </c>
      <c r="E1558" t="s">
        <v>32</v>
      </c>
      <c r="F1558" t="s">
        <v>748</v>
      </c>
      <c r="G1558">
        <v>-10000</v>
      </c>
      <c r="H1558" t="s">
        <v>153</v>
      </c>
      <c r="I1558" t="s">
        <v>157</v>
      </c>
    </row>
    <row r="1559" spans="1:9">
      <c r="A1559" s="49">
        <v>45883</v>
      </c>
      <c r="B1559" s="50">
        <v>0.6785069444444445</v>
      </c>
      <c r="C1559" t="s">
        <v>155</v>
      </c>
      <c r="D1559" t="s">
        <v>155</v>
      </c>
      <c r="E1559" t="s">
        <v>32</v>
      </c>
      <c r="F1559" t="s">
        <v>749</v>
      </c>
      <c r="G1559">
        <v>1</v>
      </c>
      <c r="H1559" t="s">
        <v>153</v>
      </c>
      <c r="I1559" t="s">
        <v>64</v>
      </c>
    </row>
    <row r="1560" spans="1:9">
      <c r="A1560" s="49">
        <v>45883</v>
      </c>
      <c r="B1560" s="50">
        <v>0.6637615740740741</v>
      </c>
      <c r="C1560" t="s">
        <v>150</v>
      </c>
      <c r="D1560" t="s">
        <v>44</v>
      </c>
      <c r="E1560" t="s">
        <v>260</v>
      </c>
      <c r="F1560" t="s">
        <v>363</v>
      </c>
      <c r="G1560">
        <v>-5000000</v>
      </c>
      <c r="H1560" t="s">
        <v>153</v>
      </c>
      <c r="I1560" t="s">
        <v>61</v>
      </c>
    </row>
    <row r="1561" spans="1:9">
      <c r="A1561" s="49">
        <v>45883</v>
      </c>
      <c r="B1561" s="50">
        <v>0.6599652777777778</v>
      </c>
      <c r="C1561" t="s">
        <v>155</v>
      </c>
      <c r="D1561" t="s">
        <v>158</v>
      </c>
      <c r="E1561" t="s">
        <v>32</v>
      </c>
      <c r="F1561" t="s">
        <v>7</v>
      </c>
      <c r="G1561">
        <v>10000000</v>
      </c>
      <c r="H1561" t="s">
        <v>153</v>
      </c>
      <c r="I1561" t="s">
        <v>61</v>
      </c>
    </row>
    <row r="1562" spans="1:9">
      <c r="A1562" s="49">
        <v>45883</v>
      </c>
      <c r="B1562" s="50">
        <v>0.6599537037037037</v>
      </c>
      <c r="C1562" t="s">
        <v>155</v>
      </c>
      <c r="D1562" t="s">
        <v>158</v>
      </c>
      <c r="E1562" t="s">
        <v>32</v>
      </c>
      <c r="F1562" t="s">
        <v>7</v>
      </c>
      <c r="G1562">
        <v>-10000000</v>
      </c>
      <c r="H1562" t="s">
        <v>153</v>
      </c>
      <c r="I1562" t="s">
        <v>64</v>
      </c>
    </row>
    <row r="1563" spans="1:9">
      <c r="A1563" s="49">
        <v>45883</v>
      </c>
      <c r="B1563" s="50">
        <v>0.6540046296296296</v>
      </c>
      <c r="C1563" t="s">
        <v>167</v>
      </c>
      <c r="D1563" t="s">
        <v>28</v>
      </c>
      <c r="E1563" t="s">
        <v>32</v>
      </c>
      <c r="F1563" t="s">
        <v>750</v>
      </c>
      <c r="G1563">
        <v>1</v>
      </c>
      <c r="H1563" t="s">
        <v>153</v>
      </c>
      <c r="I1563" t="s">
        <v>61</v>
      </c>
    </row>
    <row r="1564" spans="1:9">
      <c r="A1564" s="49">
        <v>45883</v>
      </c>
      <c r="B1564" s="50">
        <v>0.6525231481481482</v>
      </c>
      <c r="C1564" t="s">
        <v>167</v>
      </c>
      <c r="D1564" t="s">
        <v>30</v>
      </c>
      <c r="E1564" t="s">
        <v>32</v>
      </c>
      <c r="F1564" t="s">
        <v>751</v>
      </c>
      <c r="G1564">
        <v>1</v>
      </c>
      <c r="H1564" t="s">
        <v>153</v>
      </c>
      <c r="I1564" t="s">
        <v>64</v>
      </c>
    </row>
    <row r="1565" spans="1:9">
      <c r="A1565" s="49">
        <v>45883</v>
      </c>
      <c r="B1565" s="50">
        <v>0.5629166666666666</v>
      </c>
      <c r="C1565" t="s">
        <v>155</v>
      </c>
      <c r="D1565" t="s">
        <v>155</v>
      </c>
      <c r="E1565" t="s">
        <v>32</v>
      </c>
      <c r="F1565" t="s">
        <v>752</v>
      </c>
      <c r="G1565">
        <v>499000</v>
      </c>
      <c r="H1565" t="s">
        <v>153</v>
      </c>
      <c r="I1565" t="s">
        <v>64</v>
      </c>
    </row>
    <row r="1566" spans="1:9">
      <c r="A1566" s="49">
        <v>45883</v>
      </c>
      <c r="B1566" s="50">
        <v>0.396724537037037</v>
      </c>
      <c r="C1566" t="s">
        <v>150</v>
      </c>
      <c r="D1566" t="s">
        <v>44</v>
      </c>
      <c r="E1566" t="s">
        <v>162</v>
      </c>
      <c r="F1566" t="s">
        <v>163</v>
      </c>
      <c r="G1566">
        <v>-3900</v>
      </c>
      <c r="H1566" t="s">
        <v>153</v>
      </c>
      <c r="I1566" t="s">
        <v>164</v>
      </c>
    </row>
    <row r="1567" spans="1:9">
      <c r="A1567" s="49">
        <v>45883</v>
      </c>
      <c r="B1567" s="50">
        <v>0.2631134259259259</v>
      </c>
      <c r="C1567" t="s">
        <v>155</v>
      </c>
      <c r="D1567" t="s">
        <v>241</v>
      </c>
      <c r="E1567" t="s">
        <v>32</v>
      </c>
      <c r="F1567" t="s">
        <v>506</v>
      </c>
      <c r="G1567">
        <v>27000</v>
      </c>
      <c r="H1567" t="s">
        <v>153</v>
      </c>
      <c r="I1567" t="s">
        <v>64</v>
      </c>
    </row>
    <row r="1568" spans="1:9">
      <c r="A1568" s="49">
        <v>45883</v>
      </c>
      <c r="B1568" s="50">
        <v>0.09030092592592592</v>
      </c>
      <c r="C1568" t="s">
        <v>155</v>
      </c>
      <c r="D1568" t="s">
        <v>155</v>
      </c>
      <c r="E1568" t="s">
        <v>32</v>
      </c>
      <c r="F1568" t="s">
        <v>753</v>
      </c>
      <c r="G1568">
        <v>-5000</v>
      </c>
      <c r="H1568" t="s">
        <v>153</v>
      </c>
      <c r="I1568" t="s">
        <v>64</v>
      </c>
    </row>
    <row r="1569" spans="1:9">
      <c r="A1569" s="49">
        <v>45883</v>
      </c>
      <c r="B1569" s="50">
        <v>0.02783564814814815</v>
      </c>
      <c r="C1569" t="s">
        <v>150</v>
      </c>
      <c r="D1569" t="s">
        <v>35</v>
      </c>
      <c r="E1569" t="s">
        <v>169</v>
      </c>
      <c r="F1569" t="s">
        <v>563</v>
      </c>
      <c r="G1569">
        <v>-2375</v>
      </c>
      <c r="H1569" t="s">
        <v>153</v>
      </c>
      <c r="I1569" t="s">
        <v>164</v>
      </c>
    </row>
    <row r="1570" spans="1:9">
      <c r="A1570" s="49">
        <v>45882</v>
      </c>
      <c r="B1570" s="50">
        <v>0.7886689814814815</v>
      </c>
      <c r="C1570" t="s">
        <v>155</v>
      </c>
      <c r="D1570" t="s">
        <v>155</v>
      </c>
      <c r="E1570" t="s">
        <v>32</v>
      </c>
      <c r="F1570" t="s">
        <v>754</v>
      </c>
      <c r="G1570">
        <v>499000</v>
      </c>
      <c r="H1570" t="s">
        <v>153</v>
      </c>
      <c r="I1570" t="s">
        <v>64</v>
      </c>
    </row>
    <row r="1571" spans="1:9">
      <c r="A1571" s="49">
        <v>45882</v>
      </c>
      <c r="B1571" s="50">
        <v>0.6078125</v>
      </c>
      <c r="C1571" t="s">
        <v>150</v>
      </c>
      <c r="D1571" t="s">
        <v>44</v>
      </c>
      <c r="E1571" t="s">
        <v>260</v>
      </c>
      <c r="F1571" t="s">
        <v>261</v>
      </c>
      <c r="G1571">
        <v>-230000</v>
      </c>
      <c r="H1571" t="s">
        <v>153</v>
      </c>
      <c r="I1571" t="s">
        <v>64</v>
      </c>
    </row>
    <row r="1572" spans="1:9">
      <c r="A1572" s="49">
        <v>45882</v>
      </c>
      <c r="B1572" s="50">
        <v>0.469375</v>
      </c>
      <c r="C1572" t="s">
        <v>155</v>
      </c>
      <c r="D1572" t="s">
        <v>155</v>
      </c>
      <c r="E1572" t="s">
        <v>32</v>
      </c>
      <c r="F1572" t="s">
        <v>755</v>
      </c>
      <c r="G1572">
        <v>499000</v>
      </c>
      <c r="H1572" t="s">
        <v>153</v>
      </c>
      <c r="I1572" t="s">
        <v>64</v>
      </c>
    </row>
    <row r="1573" spans="1:9">
      <c r="A1573" s="49">
        <v>45882</v>
      </c>
      <c r="B1573" s="50">
        <v>0.0375</v>
      </c>
      <c r="C1573" t="s">
        <v>155</v>
      </c>
      <c r="D1573" t="s">
        <v>229</v>
      </c>
      <c r="E1573" t="s">
        <v>32</v>
      </c>
      <c r="F1573" t="s">
        <v>756</v>
      </c>
      <c r="G1573">
        <v>499000</v>
      </c>
      <c r="H1573" t="s">
        <v>153</v>
      </c>
      <c r="I1573" t="s">
        <v>64</v>
      </c>
    </row>
    <row r="1574" spans="1:9">
      <c r="A1574" s="49">
        <v>45881</v>
      </c>
      <c r="B1574" s="50">
        <v>0.9280555555555555</v>
      </c>
      <c r="C1574" t="s">
        <v>155</v>
      </c>
      <c r="D1574" t="s">
        <v>158</v>
      </c>
      <c r="E1574" t="s">
        <v>32</v>
      </c>
      <c r="F1574" t="s">
        <v>159</v>
      </c>
      <c r="G1574">
        <v>10000</v>
      </c>
      <c r="H1574" t="s">
        <v>153</v>
      </c>
      <c r="I1574" t="s">
        <v>157</v>
      </c>
    </row>
    <row r="1575" spans="1:9">
      <c r="A1575" s="49">
        <v>45881</v>
      </c>
      <c r="B1575" s="50">
        <v>0.9280555555555555</v>
      </c>
      <c r="C1575" t="s">
        <v>150</v>
      </c>
      <c r="D1575" t="s">
        <v>40</v>
      </c>
      <c r="E1575" t="s">
        <v>172</v>
      </c>
      <c r="F1575" t="s">
        <v>714</v>
      </c>
      <c r="G1575">
        <v>-2800</v>
      </c>
      <c r="H1575" t="s">
        <v>153</v>
      </c>
      <c r="I1575" t="s">
        <v>164</v>
      </c>
    </row>
    <row r="1576" spans="1:9">
      <c r="A1576" s="49">
        <v>45881</v>
      </c>
      <c r="B1576" s="50">
        <v>0.9280555555555555</v>
      </c>
      <c r="C1576" t="s">
        <v>155</v>
      </c>
      <c r="D1576" t="s">
        <v>158</v>
      </c>
      <c r="E1576" t="s">
        <v>32</v>
      </c>
      <c r="F1576" t="s">
        <v>160</v>
      </c>
      <c r="G1576">
        <v>-10000</v>
      </c>
      <c r="H1576" t="s">
        <v>153</v>
      </c>
      <c r="I1576" t="s">
        <v>64</v>
      </c>
    </row>
    <row r="1577" spans="1:9">
      <c r="A1577" s="49">
        <v>45881</v>
      </c>
      <c r="B1577" s="50">
        <v>0.8727314814814815</v>
      </c>
      <c r="C1577" t="s">
        <v>150</v>
      </c>
      <c r="D1577" t="s">
        <v>44</v>
      </c>
      <c r="E1577" t="s">
        <v>225</v>
      </c>
      <c r="F1577" t="s">
        <v>228</v>
      </c>
      <c r="G1577">
        <v>-15059</v>
      </c>
      <c r="H1577" t="s">
        <v>153</v>
      </c>
      <c r="I1577" t="s">
        <v>214</v>
      </c>
    </row>
    <row r="1578" spans="1:9">
      <c r="A1578" s="49">
        <v>45881</v>
      </c>
      <c r="B1578" s="50">
        <v>0.8093171296296297</v>
      </c>
      <c r="C1578" t="s">
        <v>167</v>
      </c>
      <c r="D1578" t="s">
        <v>31</v>
      </c>
      <c r="E1578" t="s">
        <v>32</v>
      </c>
      <c r="F1578" t="s">
        <v>757</v>
      </c>
      <c r="G1578">
        <v>1</v>
      </c>
      <c r="H1578" t="s">
        <v>153</v>
      </c>
      <c r="I1578" t="s">
        <v>64</v>
      </c>
    </row>
    <row r="1579" spans="1:9">
      <c r="A1579" s="49">
        <v>45881</v>
      </c>
      <c r="B1579" s="50">
        <v>0.766712962962963</v>
      </c>
      <c r="C1579" t="s">
        <v>155</v>
      </c>
      <c r="D1579" t="s">
        <v>158</v>
      </c>
      <c r="E1579" t="s">
        <v>32</v>
      </c>
      <c r="F1579" t="s">
        <v>159</v>
      </c>
      <c r="G1579">
        <v>-1000000</v>
      </c>
      <c r="H1579" t="s">
        <v>153</v>
      </c>
      <c r="I1579" t="s">
        <v>157</v>
      </c>
    </row>
    <row r="1580" spans="1:9">
      <c r="A1580" s="49">
        <v>45881</v>
      </c>
      <c r="B1580" s="50">
        <v>0.766712962962963</v>
      </c>
      <c r="C1580" t="s">
        <v>155</v>
      </c>
      <c r="D1580" t="s">
        <v>158</v>
      </c>
      <c r="E1580" t="s">
        <v>32</v>
      </c>
      <c r="F1580" t="s">
        <v>7</v>
      </c>
      <c r="G1580">
        <v>1000000</v>
      </c>
      <c r="H1580" t="s">
        <v>153</v>
      </c>
      <c r="I1580" t="s">
        <v>64</v>
      </c>
    </row>
    <row r="1581" spans="1:9">
      <c r="A1581" s="49">
        <v>45881</v>
      </c>
      <c r="B1581" s="50">
        <v>0.6509722222222222</v>
      </c>
      <c r="C1581" t="s">
        <v>155</v>
      </c>
      <c r="D1581" t="s">
        <v>155</v>
      </c>
      <c r="E1581" t="s">
        <v>32</v>
      </c>
      <c r="F1581" t="s">
        <v>156</v>
      </c>
      <c r="G1581">
        <v>-157110</v>
      </c>
      <c r="H1581" t="s">
        <v>153</v>
      </c>
      <c r="I1581" t="s">
        <v>157</v>
      </c>
    </row>
    <row r="1582" spans="1:9">
      <c r="A1582" s="49">
        <v>45881</v>
      </c>
      <c r="B1582" s="50">
        <v>0.6497453703703704</v>
      </c>
      <c r="C1582" t="s">
        <v>155</v>
      </c>
      <c r="D1582" t="s">
        <v>158</v>
      </c>
      <c r="E1582" t="s">
        <v>32</v>
      </c>
      <c r="F1582" t="s">
        <v>160</v>
      </c>
      <c r="G1582">
        <v>-157110</v>
      </c>
      <c r="H1582" t="s">
        <v>153</v>
      </c>
      <c r="I1582" t="s">
        <v>64</v>
      </c>
    </row>
    <row r="1583" spans="1:9">
      <c r="A1583" s="49">
        <v>45881</v>
      </c>
      <c r="B1583" s="50">
        <v>0.6497337962962964</v>
      </c>
      <c r="C1583" t="s">
        <v>155</v>
      </c>
      <c r="D1583" t="s">
        <v>158</v>
      </c>
      <c r="E1583" t="s">
        <v>32</v>
      </c>
      <c r="F1583" t="s">
        <v>159</v>
      </c>
      <c r="G1583">
        <v>157110</v>
      </c>
      <c r="H1583" t="s">
        <v>153</v>
      </c>
      <c r="I1583" t="s">
        <v>157</v>
      </c>
    </row>
    <row r="1584" spans="1:9">
      <c r="A1584" s="49">
        <v>45881</v>
      </c>
      <c r="B1584" s="50">
        <v>0.6476041666666666</v>
      </c>
      <c r="C1584" t="s">
        <v>155</v>
      </c>
      <c r="D1584" t="s">
        <v>155</v>
      </c>
      <c r="E1584" t="s">
        <v>32</v>
      </c>
      <c r="F1584" t="s">
        <v>235</v>
      </c>
      <c r="G1584">
        <v>78555</v>
      </c>
      <c r="H1584" t="s">
        <v>153</v>
      </c>
      <c r="I1584" t="s">
        <v>64</v>
      </c>
    </row>
    <row r="1585" spans="1:9">
      <c r="A1585" s="49">
        <v>45881</v>
      </c>
      <c r="B1585" s="50">
        <v>0.6352430555555556</v>
      </c>
      <c r="C1585" t="s">
        <v>150</v>
      </c>
      <c r="D1585" t="s">
        <v>35</v>
      </c>
      <c r="E1585" t="s">
        <v>174</v>
      </c>
      <c r="F1585" t="s">
        <v>314</v>
      </c>
      <c r="G1585">
        <v>-10000</v>
      </c>
      <c r="H1585" t="s">
        <v>153</v>
      </c>
      <c r="I1585" t="s">
        <v>64</v>
      </c>
    </row>
    <row r="1586" spans="1:9">
      <c r="A1586" s="49">
        <v>45881</v>
      </c>
      <c r="B1586" s="50">
        <v>0.5673958333333333</v>
      </c>
      <c r="C1586" t="s">
        <v>150</v>
      </c>
      <c r="D1586" t="s">
        <v>43</v>
      </c>
      <c r="E1586" t="s">
        <v>389</v>
      </c>
      <c r="F1586" t="s">
        <v>408</v>
      </c>
      <c r="G1586">
        <v>-253000</v>
      </c>
      <c r="H1586" t="s">
        <v>153</v>
      </c>
      <c r="I1586" t="s">
        <v>164</v>
      </c>
    </row>
    <row r="1587" spans="1:9">
      <c r="A1587" s="49">
        <v>45881</v>
      </c>
      <c r="B1587" s="50">
        <v>0.5673263888888889</v>
      </c>
      <c r="C1587" t="s">
        <v>155</v>
      </c>
      <c r="D1587" t="s">
        <v>155</v>
      </c>
      <c r="E1587" t="s">
        <v>32</v>
      </c>
      <c r="F1587" t="s">
        <v>160</v>
      </c>
      <c r="G1587">
        <v>-210922</v>
      </c>
      <c r="H1587" t="s">
        <v>153</v>
      </c>
      <c r="I1587" t="s">
        <v>64</v>
      </c>
    </row>
    <row r="1588" spans="1:9">
      <c r="A1588" s="49">
        <v>45881</v>
      </c>
      <c r="B1588" s="50">
        <v>0.4819097222222222</v>
      </c>
      <c r="C1588" t="s">
        <v>150</v>
      </c>
      <c r="D1588" t="s">
        <v>48</v>
      </c>
      <c r="E1588" t="s">
        <v>185</v>
      </c>
      <c r="F1588" t="s">
        <v>758</v>
      </c>
      <c r="G1588">
        <v>-29500</v>
      </c>
      <c r="H1588" t="s">
        <v>153</v>
      </c>
      <c r="I1588" t="s">
        <v>214</v>
      </c>
    </row>
    <row r="1589" spans="1:9">
      <c r="A1589" s="49">
        <v>45881</v>
      </c>
      <c r="B1589" s="50">
        <v>0.3753009259259259</v>
      </c>
      <c r="C1589" t="s">
        <v>150</v>
      </c>
      <c r="D1589" t="s">
        <v>34</v>
      </c>
      <c r="E1589" t="s">
        <v>322</v>
      </c>
      <c r="F1589" t="s">
        <v>323</v>
      </c>
      <c r="G1589">
        <v>-109890</v>
      </c>
      <c r="H1589" t="s">
        <v>153</v>
      </c>
      <c r="I1589" t="s">
        <v>214</v>
      </c>
    </row>
    <row r="1590" spans="1:9">
      <c r="A1590" s="49">
        <v>45881</v>
      </c>
      <c r="B1590" s="50">
        <v>0.01261574074074074</v>
      </c>
      <c r="C1590" t="s">
        <v>155</v>
      </c>
      <c r="D1590" t="s">
        <v>155</v>
      </c>
      <c r="E1590" t="s">
        <v>32</v>
      </c>
      <c r="F1590" t="s">
        <v>653</v>
      </c>
      <c r="G1590">
        <v>90000</v>
      </c>
      <c r="H1590" t="s">
        <v>153</v>
      </c>
      <c r="I1590" t="s">
        <v>64</v>
      </c>
    </row>
    <row r="1591" spans="1:9">
      <c r="A1591" s="49">
        <v>45880</v>
      </c>
      <c r="B1591" s="50">
        <v>0.8929398148148148</v>
      </c>
      <c r="C1591" t="s">
        <v>155</v>
      </c>
      <c r="D1591" t="s">
        <v>155</v>
      </c>
      <c r="E1591" t="s">
        <v>32</v>
      </c>
      <c r="F1591" t="s">
        <v>759</v>
      </c>
      <c r="G1591">
        <v>499000</v>
      </c>
      <c r="H1591" t="s">
        <v>153</v>
      </c>
      <c r="I1591" t="s">
        <v>64</v>
      </c>
    </row>
    <row r="1592" spans="1:9">
      <c r="A1592" s="49">
        <v>45880</v>
      </c>
      <c r="B1592" s="50">
        <v>0.8140393518518518</v>
      </c>
      <c r="C1592" t="s">
        <v>150</v>
      </c>
      <c r="D1592" t="s">
        <v>42</v>
      </c>
      <c r="E1592" t="s">
        <v>151</v>
      </c>
      <c r="F1592" t="s">
        <v>152</v>
      </c>
      <c r="G1592">
        <v>-35400</v>
      </c>
      <c r="H1592" t="s">
        <v>153</v>
      </c>
      <c r="I1592" t="s">
        <v>64</v>
      </c>
    </row>
    <row r="1593" spans="1:9">
      <c r="A1593" s="49">
        <v>45880</v>
      </c>
      <c r="B1593" s="50">
        <v>0.7730902777777777</v>
      </c>
      <c r="C1593" t="s">
        <v>155</v>
      </c>
      <c r="D1593" t="s">
        <v>70</v>
      </c>
      <c r="E1593" t="s">
        <v>32</v>
      </c>
      <c r="F1593" t="s">
        <v>238</v>
      </c>
      <c r="G1593">
        <v>-19700</v>
      </c>
      <c r="H1593" t="s">
        <v>153</v>
      </c>
      <c r="I1593" t="s">
        <v>64</v>
      </c>
    </row>
    <row r="1594" spans="1:9">
      <c r="A1594" s="49">
        <v>45880</v>
      </c>
      <c r="B1594" s="50">
        <v>0.7455092592592593</v>
      </c>
      <c r="C1594" t="s">
        <v>167</v>
      </c>
      <c r="D1594" t="s">
        <v>31</v>
      </c>
      <c r="E1594" t="s">
        <v>32</v>
      </c>
      <c r="F1594" t="s">
        <v>760</v>
      </c>
      <c r="G1594">
        <v>1</v>
      </c>
      <c r="H1594" t="s">
        <v>153</v>
      </c>
      <c r="I1594" t="s">
        <v>64</v>
      </c>
    </row>
    <row r="1595" spans="1:9">
      <c r="A1595" s="49">
        <v>45880</v>
      </c>
      <c r="B1595" s="50">
        <v>0.6227083333333333</v>
      </c>
      <c r="C1595" t="s">
        <v>155</v>
      </c>
      <c r="D1595" t="s">
        <v>155</v>
      </c>
      <c r="E1595" t="s">
        <v>32</v>
      </c>
      <c r="F1595" t="s">
        <v>761</v>
      </c>
      <c r="G1595">
        <v>499000</v>
      </c>
      <c r="H1595" t="s">
        <v>153</v>
      </c>
      <c r="I1595" t="s">
        <v>64</v>
      </c>
    </row>
    <row r="1596" spans="1:9">
      <c r="A1596" s="49">
        <v>45880</v>
      </c>
      <c r="B1596" s="50">
        <v>0.5795833333333333</v>
      </c>
      <c r="C1596" t="s">
        <v>155</v>
      </c>
      <c r="D1596" t="s">
        <v>155</v>
      </c>
      <c r="E1596" t="s">
        <v>32</v>
      </c>
      <c r="F1596" t="s">
        <v>235</v>
      </c>
      <c r="G1596">
        <v>2680000</v>
      </c>
      <c r="H1596" t="s">
        <v>153</v>
      </c>
      <c r="I1596" t="s">
        <v>64</v>
      </c>
    </row>
    <row r="1597" spans="1:9">
      <c r="A1597" s="49">
        <v>45880</v>
      </c>
      <c r="B1597" s="50">
        <v>0.5670833333333334</v>
      </c>
      <c r="C1597" t="s">
        <v>155</v>
      </c>
      <c r="D1597" t="s">
        <v>155</v>
      </c>
      <c r="E1597" t="s">
        <v>32</v>
      </c>
      <c r="F1597" t="s">
        <v>235</v>
      </c>
      <c r="G1597">
        <v>22818007</v>
      </c>
      <c r="H1597" t="s">
        <v>153</v>
      </c>
      <c r="I1597" t="s">
        <v>64</v>
      </c>
    </row>
    <row r="1598" spans="1:9">
      <c r="A1598" s="49">
        <v>45880</v>
      </c>
      <c r="B1598" s="50">
        <v>0.4935185185185185</v>
      </c>
      <c r="C1598" t="s">
        <v>167</v>
      </c>
      <c r="D1598" t="s">
        <v>28</v>
      </c>
      <c r="E1598" t="s">
        <v>32</v>
      </c>
      <c r="F1598" t="s">
        <v>243</v>
      </c>
      <c r="G1598">
        <v>2912</v>
      </c>
      <c r="H1598" t="s">
        <v>153</v>
      </c>
      <c r="I1598" t="s">
        <v>64</v>
      </c>
    </row>
    <row r="1599" spans="1:9">
      <c r="A1599" s="49">
        <v>45880</v>
      </c>
      <c r="B1599" s="50">
        <v>0.3278009259259259</v>
      </c>
      <c r="C1599" t="s">
        <v>155</v>
      </c>
      <c r="D1599" t="s">
        <v>155</v>
      </c>
      <c r="E1599" t="s">
        <v>32</v>
      </c>
      <c r="F1599" t="s">
        <v>653</v>
      </c>
      <c r="G1599">
        <v>300000</v>
      </c>
      <c r="H1599" t="s">
        <v>153</v>
      </c>
      <c r="I1599" t="s">
        <v>64</v>
      </c>
    </row>
    <row r="1600" spans="1:9">
      <c r="A1600" s="49">
        <v>45880</v>
      </c>
      <c r="B1600" s="50">
        <v>0.02908564814814815</v>
      </c>
      <c r="C1600" t="s">
        <v>150</v>
      </c>
      <c r="D1600" t="s">
        <v>44</v>
      </c>
      <c r="E1600" t="s">
        <v>225</v>
      </c>
      <c r="F1600" t="s">
        <v>249</v>
      </c>
      <c r="G1600">
        <v>-62671</v>
      </c>
      <c r="H1600" t="s">
        <v>153</v>
      </c>
      <c r="I1600" t="s">
        <v>214</v>
      </c>
    </row>
    <row r="1601" spans="1:9">
      <c r="A1601" s="49">
        <v>45879</v>
      </c>
      <c r="B1601" s="50">
        <v>0.868125</v>
      </c>
      <c r="C1601" t="s">
        <v>155</v>
      </c>
      <c r="D1601" t="s">
        <v>155</v>
      </c>
      <c r="E1601" t="s">
        <v>32</v>
      </c>
      <c r="F1601" t="s">
        <v>762</v>
      </c>
      <c r="G1601">
        <v>499000</v>
      </c>
      <c r="H1601" t="s">
        <v>153</v>
      </c>
      <c r="I1601" t="s">
        <v>64</v>
      </c>
    </row>
    <row r="1602" spans="1:9">
      <c r="A1602" s="49">
        <v>45879</v>
      </c>
      <c r="B1602" s="50">
        <v>0.6130555555555556</v>
      </c>
      <c r="C1602" t="s">
        <v>150</v>
      </c>
      <c r="D1602" t="s">
        <v>42</v>
      </c>
      <c r="E1602" t="s">
        <v>151</v>
      </c>
      <c r="F1602" t="s">
        <v>152</v>
      </c>
      <c r="G1602">
        <v>-24800</v>
      </c>
      <c r="H1602" t="s">
        <v>153</v>
      </c>
      <c r="I1602" t="s">
        <v>64</v>
      </c>
    </row>
    <row r="1603" spans="1:9">
      <c r="A1603" s="49">
        <v>45879</v>
      </c>
      <c r="B1603" s="50">
        <v>0.2549537037037037</v>
      </c>
      <c r="C1603" t="s">
        <v>150</v>
      </c>
      <c r="D1603" t="s">
        <v>35</v>
      </c>
      <c r="E1603" t="s">
        <v>169</v>
      </c>
      <c r="F1603" t="s">
        <v>739</v>
      </c>
      <c r="G1603">
        <v>-2706</v>
      </c>
      <c r="H1603" t="s">
        <v>153</v>
      </c>
      <c r="I1603" t="s">
        <v>164</v>
      </c>
    </row>
    <row r="1604" spans="1:9">
      <c r="A1604" s="49">
        <v>45878</v>
      </c>
      <c r="B1604" s="50">
        <v>0.9080439814814815</v>
      </c>
      <c r="C1604" t="s">
        <v>150</v>
      </c>
      <c r="D1604" t="s">
        <v>48</v>
      </c>
      <c r="E1604" t="s">
        <v>185</v>
      </c>
      <c r="F1604" t="s">
        <v>763</v>
      </c>
      <c r="G1604">
        <v>-25000</v>
      </c>
      <c r="H1604" t="s">
        <v>153</v>
      </c>
      <c r="I1604" t="s">
        <v>214</v>
      </c>
    </row>
    <row r="1605" spans="1:9">
      <c r="A1605" s="49">
        <v>45878</v>
      </c>
      <c r="B1605" s="50">
        <v>0.7825578703703704</v>
      </c>
      <c r="C1605" t="s">
        <v>167</v>
      </c>
      <c r="D1605" t="s">
        <v>31</v>
      </c>
      <c r="E1605" t="s">
        <v>32</v>
      </c>
      <c r="F1605" t="s">
        <v>168</v>
      </c>
      <c r="G1605">
        <v>3000</v>
      </c>
      <c r="H1605" t="s">
        <v>153</v>
      </c>
      <c r="I1605" t="s">
        <v>64</v>
      </c>
    </row>
    <row r="1606" spans="1:9">
      <c r="A1606" s="49">
        <v>45878</v>
      </c>
      <c r="B1606" s="50">
        <v>0.7825347222222222</v>
      </c>
      <c r="C1606" t="s">
        <v>150</v>
      </c>
      <c r="D1606" t="s">
        <v>35</v>
      </c>
      <c r="E1606" t="s">
        <v>169</v>
      </c>
      <c r="F1606" t="s">
        <v>170</v>
      </c>
      <c r="G1606">
        <v>-1150</v>
      </c>
      <c r="H1606" t="s">
        <v>153</v>
      </c>
      <c r="I1606" t="s">
        <v>171</v>
      </c>
    </row>
    <row r="1607" spans="1:9">
      <c r="A1607" s="49">
        <v>45878</v>
      </c>
      <c r="B1607" s="50">
        <v>0.7796180555555555</v>
      </c>
      <c r="C1607" t="s">
        <v>150</v>
      </c>
      <c r="D1607" t="s">
        <v>35</v>
      </c>
      <c r="E1607" t="s">
        <v>169</v>
      </c>
      <c r="F1607" t="s">
        <v>170</v>
      </c>
      <c r="G1607">
        <v>3000</v>
      </c>
      <c r="H1607" t="s">
        <v>153</v>
      </c>
      <c r="I1607" t="s">
        <v>171</v>
      </c>
    </row>
    <row r="1608" spans="1:9">
      <c r="A1608" s="49">
        <v>45878</v>
      </c>
      <c r="B1608" s="50">
        <v>0.7796180555555555</v>
      </c>
      <c r="C1608" t="s">
        <v>150</v>
      </c>
      <c r="D1608" t="s">
        <v>40</v>
      </c>
      <c r="E1608" t="s">
        <v>172</v>
      </c>
      <c r="F1608" t="s">
        <v>173</v>
      </c>
      <c r="G1608">
        <v>-3000</v>
      </c>
      <c r="H1608" t="s">
        <v>153</v>
      </c>
      <c r="I1608" t="s">
        <v>64</v>
      </c>
    </row>
    <row r="1609" spans="1:9">
      <c r="A1609" s="49">
        <v>45878</v>
      </c>
      <c r="B1609" s="50">
        <v>0.4347222222222222</v>
      </c>
      <c r="C1609" t="s">
        <v>167</v>
      </c>
      <c r="D1609" t="s">
        <v>28</v>
      </c>
      <c r="E1609" t="s">
        <v>32</v>
      </c>
      <c r="F1609" t="s">
        <v>535</v>
      </c>
      <c r="G1609">
        <v>230000</v>
      </c>
      <c r="H1609" t="s">
        <v>153</v>
      </c>
      <c r="I1609" t="s">
        <v>64</v>
      </c>
    </row>
    <row r="1610" spans="1:9">
      <c r="A1610" s="49">
        <v>45878</v>
      </c>
      <c r="B1610" s="50">
        <v>0.03570601851851852</v>
      </c>
      <c r="C1610" t="s">
        <v>155</v>
      </c>
      <c r="D1610" t="s">
        <v>155</v>
      </c>
      <c r="E1610" t="s">
        <v>32</v>
      </c>
      <c r="F1610" t="s">
        <v>764</v>
      </c>
      <c r="G1610">
        <v>499000</v>
      </c>
      <c r="H1610" t="s">
        <v>153</v>
      </c>
      <c r="I1610" t="s">
        <v>64</v>
      </c>
    </row>
    <row r="1611" spans="1:9">
      <c r="A1611" s="49">
        <v>45877</v>
      </c>
      <c r="B1611" s="50">
        <v>0.9663078703703704</v>
      </c>
      <c r="C1611" t="s">
        <v>155</v>
      </c>
      <c r="D1611" t="s">
        <v>765</v>
      </c>
      <c r="E1611" t="s">
        <v>32</v>
      </c>
      <c r="F1611" t="s">
        <v>766</v>
      </c>
      <c r="G1611">
        <v>499000</v>
      </c>
      <c r="H1611" t="s">
        <v>153</v>
      </c>
      <c r="I1611" t="s">
        <v>64</v>
      </c>
    </row>
    <row r="1612" spans="1:9">
      <c r="A1612" s="49">
        <v>45877</v>
      </c>
      <c r="B1612" s="50">
        <v>0.9297800925925926</v>
      </c>
      <c r="C1612" t="s">
        <v>150</v>
      </c>
      <c r="D1612" t="s">
        <v>35</v>
      </c>
      <c r="E1612" t="s">
        <v>174</v>
      </c>
      <c r="F1612" t="s">
        <v>314</v>
      </c>
      <c r="G1612">
        <v>-20000</v>
      </c>
      <c r="H1612" t="s">
        <v>153</v>
      </c>
      <c r="I1612" t="s">
        <v>64</v>
      </c>
    </row>
    <row r="1613" spans="1:9">
      <c r="A1613" s="49">
        <v>45877</v>
      </c>
      <c r="B1613" s="50">
        <v>0.9108680555555555</v>
      </c>
      <c r="C1613" t="s">
        <v>150</v>
      </c>
      <c r="D1613" t="s">
        <v>37</v>
      </c>
      <c r="E1613" t="s">
        <v>438</v>
      </c>
      <c r="F1613" t="s">
        <v>767</v>
      </c>
      <c r="G1613">
        <v>-50000</v>
      </c>
      <c r="H1613" t="s">
        <v>153</v>
      </c>
      <c r="I1613" t="s">
        <v>214</v>
      </c>
    </row>
    <row r="1614" spans="1:9">
      <c r="A1614" s="49">
        <v>45877</v>
      </c>
      <c r="B1614" s="50">
        <v>0.9105092592592593</v>
      </c>
      <c r="C1614" t="s">
        <v>150</v>
      </c>
      <c r="D1614" t="s">
        <v>35</v>
      </c>
      <c r="E1614" t="s">
        <v>174</v>
      </c>
      <c r="F1614" t="s">
        <v>314</v>
      </c>
      <c r="G1614">
        <v>-10000</v>
      </c>
      <c r="H1614" t="s">
        <v>153</v>
      </c>
      <c r="I1614" t="s">
        <v>64</v>
      </c>
    </row>
    <row r="1615" spans="1:9">
      <c r="A1615" s="49">
        <v>45877</v>
      </c>
      <c r="B1615" s="50">
        <v>0.8647916666666666</v>
      </c>
      <c r="C1615" t="s">
        <v>150</v>
      </c>
      <c r="D1615" t="s">
        <v>37</v>
      </c>
      <c r="E1615" t="s">
        <v>438</v>
      </c>
      <c r="F1615" t="s">
        <v>768</v>
      </c>
      <c r="G1615">
        <v>-4000</v>
      </c>
      <c r="H1615" t="s">
        <v>153</v>
      </c>
      <c r="I1615" t="s">
        <v>214</v>
      </c>
    </row>
    <row r="1616" spans="1:9">
      <c r="A1616" s="49">
        <v>45877</v>
      </c>
      <c r="B1616" s="50">
        <v>0.750625</v>
      </c>
      <c r="C1616" t="s">
        <v>150</v>
      </c>
      <c r="D1616" t="s">
        <v>49</v>
      </c>
      <c r="E1616" t="s">
        <v>304</v>
      </c>
      <c r="F1616" t="s">
        <v>769</v>
      </c>
      <c r="G1616">
        <v>-69000</v>
      </c>
      <c r="H1616" t="s">
        <v>153</v>
      </c>
      <c r="I1616" t="s">
        <v>214</v>
      </c>
    </row>
    <row r="1617" spans="1:9">
      <c r="A1617" s="49">
        <v>45877</v>
      </c>
      <c r="B1617" s="50">
        <v>0.7098611111111112</v>
      </c>
      <c r="C1617" t="s">
        <v>150</v>
      </c>
      <c r="D1617" t="s">
        <v>48</v>
      </c>
      <c r="E1617" t="s">
        <v>185</v>
      </c>
      <c r="F1617" t="s">
        <v>715</v>
      </c>
      <c r="G1617">
        <v>40000</v>
      </c>
      <c r="H1617" t="s">
        <v>153</v>
      </c>
      <c r="I1617" t="s">
        <v>164</v>
      </c>
    </row>
    <row r="1618" spans="1:9">
      <c r="A1618" s="49">
        <v>45877</v>
      </c>
      <c r="B1618" s="50">
        <v>0.7034375</v>
      </c>
      <c r="C1618" t="s">
        <v>150</v>
      </c>
      <c r="D1618" t="s">
        <v>40</v>
      </c>
      <c r="E1618" t="s">
        <v>172</v>
      </c>
      <c r="F1618" t="s">
        <v>770</v>
      </c>
      <c r="G1618">
        <v>-23000</v>
      </c>
      <c r="H1618" t="s">
        <v>153</v>
      </c>
      <c r="I1618" t="s">
        <v>214</v>
      </c>
    </row>
    <row r="1619" spans="1:9">
      <c r="A1619" s="49">
        <v>45877</v>
      </c>
      <c r="B1619" s="50">
        <v>0.6935532407407408</v>
      </c>
      <c r="C1619" t="s">
        <v>150</v>
      </c>
      <c r="D1619" t="s">
        <v>35</v>
      </c>
      <c r="E1619" t="s">
        <v>169</v>
      </c>
      <c r="F1619" t="s">
        <v>563</v>
      </c>
      <c r="G1619">
        <v>-1824</v>
      </c>
      <c r="H1619" t="s">
        <v>153</v>
      </c>
      <c r="I1619" t="s">
        <v>164</v>
      </c>
    </row>
    <row r="1620" spans="1:9">
      <c r="A1620" s="49">
        <v>45877</v>
      </c>
      <c r="B1620" s="50">
        <v>0.6162268518518519</v>
      </c>
      <c r="C1620" t="s">
        <v>150</v>
      </c>
      <c r="D1620" t="s">
        <v>47</v>
      </c>
      <c r="E1620" t="s">
        <v>292</v>
      </c>
      <c r="F1620" t="s">
        <v>642</v>
      </c>
      <c r="G1620">
        <v>-13675</v>
      </c>
      <c r="H1620" t="s">
        <v>153</v>
      </c>
      <c r="I1620" t="s">
        <v>214</v>
      </c>
    </row>
    <row r="1621" spans="1:9">
      <c r="A1621" s="49">
        <v>45876</v>
      </c>
      <c r="B1621" s="50">
        <v>0.7695717592592592</v>
      </c>
      <c r="C1621" t="s">
        <v>155</v>
      </c>
      <c r="D1621" t="s">
        <v>158</v>
      </c>
      <c r="E1621" t="s">
        <v>32</v>
      </c>
      <c r="F1621" t="s">
        <v>7</v>
      </c>
      <c r="G1621">
        <v>-8000000</v>
      </c>
      <c r="H1621" t="s">
        <v>153</v>
      </c>
      <c r="I1621" t="s">
        <v>64</v>
      </c>
    </row>
    <row r="1622" spans="1:9">
      <c r="A1622" s="49">
        <v>45876</v>
      </c>
      <c r="B1622" s="50">
        <v>0.7403935185185185</v>
      </c>
      <c r="C1622" t="s">
        <v>150</v>
      </c>
      <c r="D1622" t="s">
        <v>48</v>
      </c>
      <c r="E1622" t="s">
        <v>196</v>
      </c>
      <c r="F1622" t="s">
        <v>771</v>
      </c>
      <c r="G1622">
        <v>-1300</v>
      </c>
      <c r="H1622" t="s">
        <v>153</v>
      </c>
      <c r="I1622" t="s">
        <v>214</v>
      </c>
    </row>
    <row r="1623" spans="1:9">
      <c r="A1623" s="49">
        <v>45876</v>
      </c>
      <c r="B1623" s="50">
        <v>0.6523726851851852</v>
      </c>
      <c r="C1623" t="s">
        <v>155</v>
      </c>
      <c r="D1623" t="s">
        <v>155</v>
      </c>
      <c r="E1623" t="s">
        <v>32</v>
      </c>
      <c r="F1623" t="s">
        <v>246</v>
      </c>
      <c r="G1623">
        <v>8380</v>
      </c>
      <c r="H1623" t="s">
        <v>153</v>
      </c>
      <c r="I1623" t="s">
        <v>64</v>
      </c>
    </row>
    <row r="1624" spans="1:9">
      <c r="A1624" s="49">
        <v>45875</v>
      </c>
      <c r="B1624" s="50">
        <v>0.924537037037037</v>
      </c>
      <c r="C1624" t="s">
        <v>150</v>
      </c>
      <c r="D1624" t="s">
        <v>40</v>
      </c>
      <c r="E1624" t="s">
        <v>172</v>
      </c>
      <c r="F1624" t="s">
        <v>714</v>
      </c>
      <c r="G1624">
        <v>-900</v>
      </c>
      <c r="H1624" t="s">
        <v>153</v>
      </c>
      <c r="I1624" t="s">
        <v>164</v>
      </c>
    </row>
    <row r="1625" spans="1:9">
      <c r="A1625" s="49">
        <v>45875</v>
      </c>
      <c r="B1625" s="50">
        <v>0.8242013888888889</v>
      </c>
      <c r="C1625" t="s">
        <v>155</v>
      </c>
      <c r="D1625" t="s">
        <v>155</v>
      </c>
      <c r="E1625" t="s">
        <v>32</v>
      </c>
      <c r="F1625" t="s">
        <v>772</v>
      </c>
      <c r="G1625">
        <v>499000</v>
      </c>
      <c r="H1625" t="s">
        <v>153</v>
      </c>
      <c r="I1625" t="s">
        <v>64</v>
      </c>
    </row>
    <row r="1626" spans="1:9">
      <c r="A1626" s="49">
        <v>45875</v>
      </c>
      <c r="B1626" s="50">
        <v>0.8030439814814815</v>
      </c>
      <c r="C1626" t="s">
        <v>155</v>
      </c>
      <c r="D1626" t="s">
        <v>155</v>
      </c>
      <c r="E1626" t="s">
        <v>32</v>
      </c>
      <c r="F1626" t="s">
        <v>597</v>
      </c>
      <c r="G1626">
        <v>499000</v>
      </c>
      <c r="H1626" t="s">
        <v>153</v>
      </c>
      <c r="I1626" t="s">
        <v>64</v>
      </c>
    </row>
    <row r="1627" spans="1:9">
      <c r="A1627" s="49">
        <v>45875</v>
      </c>
      <c r="B1627" s="50">
        <v>0.4901967592592593</v>
      </c>
      <c r="C1627" t="s">
        <v>155</v>
      </c>
      <c r="D1627" t="s">
        <v>158</v>
      </c>
      <c r="E1627" t="s">
        <v>32</v>
      </c>
      <c r="F1627" t="s">
        <v>159</v>
      </c>
      <c r="G1627">
        <v>10000</v>
      </c>
      <c r="H1627" t="s">
        <v>153</v>
      </c>
      <c r="I1627" t="s">
        <v>157</v>
      </c>
    </row>
    <row r="1628" spans="1:9">
      <c r="A1628" s="49">
        <v>45875</v>
      </c>
      <c r="B1628" s="50">
        <v>0.4901967592592593</v>
      </c>
      <c r="C1628" t="s">
        <v>150</v>
      </c>
      <c r="D1628" t="s">
        <v>44</v>
      </c>
      <c r="E1628" t="s">
        <v>315</v>
      </c>
      <c r="F1628" t="s">
        <v>316</v>
      </c>
      <c r="G1628">
        <v>-2500</v>
      </c>
      <c r="H1628" t="s">
        <v>153</v>
      </c>
      <c r="I1628" t="s">
        <v>164</v>
      </c>
    </row>
    <row r="1629" spans="1:9">
      <c r="A1629" s="49">
        <v>45875</v>
      </c>
      <c r="B1629" s="50">
        <v>0.4901967592592593</v>
      </c>
      <c r="C1629" t="s">
        <v>155</v>
      </c>
      <c r="D1629" t="s">
        <v>158</v>
      </c>
      <c r="E1629" t="s">
        <v>32</v>
      </c>
      <c r="F1629" t="s">
        <v>160</v>
      </c>
      <c r="G1629">
        <v>-10000</v>
      </c>
      <c r="H1629" t="s">
        <v>153</v>
      </c>
      <c r="I1629" t="s">
        <v>64</v>
      </c>
    </row>
    <row r="1630" spans="1:9">
      <c r="A1630" s="49">
        <v>45875</v>
      </c>
      <c r="B1630" s="50">
        <v>0.4487152777777778</v>
      </c>
      <c r="C1630" t="s">
        <v>155</v>
      </c>
      <c r="D1630" t="s">
        <v>155</v>
      </c>
      <c r="E1630" t="s">
        <v>32</v>
      </c>
      <c r="F1630" t="s">
        <v>773</v>
      </c>
      <c r="G1630">
        <v>499000</v>
      </c>
      <c r="H1630" t="s">
        <v>153</v>
      </c>
      <c r="I1630" t="s">
        <v>64</v>
      </c>
    </row>
    <row r="1631" spans="1:9">
      <c r="A1631" s="49">
        <v>45875</v>
      </c>
      <c r="B1631" s="50">
        <v>0.1043634259259259</v>
      </c>
      <c r="C1631" t="s">
        <v>150</v>
      </c>
      <c r="D1631" t="s">
        <v>48</v>
      </c>
      <c r="E1631" t="s">
        <v>185</v>
      </c>
      <c r="F1631" t="s">
        <v>715</v>
      </c>
      <c r="G1631">
        <v>-40000</v>
      </c>
      <c r="H1631" t="s">
        <v>153</v>
      </c>
      <c r="I1631" t="s">
        <v>164</v>
      </c>
    </row>
    <row r="1632" spans="1:9">
      <c r="A1632" s="49">
        <v>45875</v>
      </c>
      <c r="B1632" s="50">
        <v>0.1041898148148148</v>
      </c>
      <c r="C1632" t="s">
        <v>155</v>
      </c>
      <c r="D1632" t="s">
        <v>155</v>
      </c>
      <c r="E1632" t="s">
        <v>32</v>
      </c>
      <c r="F1632" t="s">
        <v>160</v>
      </c>
      <c r="G1632">
        <v>-33785</v>
      </c>
      <c r="H1632" t="s">
        <v>153</v>
      </c>
      <c r="I1632" t="s">
        <v>64</v>
      </c>
    </row>
    <row r="1633" spans="1:9">
      <c r="A1633" s="49">
        <v>45874</v>
      </c>
      <c r="B1633" s="50">
        <v>0.9413425925925926</v>
      </c>
      <c r="C1633" t="s">
        <v>150</v>
      </c>
      <c r="D1633" t="s">
        <v>49</v>
      </c>
      <c r="E1633" t="s">
        <v>304</v>
      </c>
      <c r="F1633" t="s">
        <v>774</v>
      </c>
      <c r="G1633">
        <v>-195914</v>
      </c>
      <c r="H1633" t="s">
        <v>153</v>
      </c>
      <c r="I1633" t="s">
        <v>214</v>
      </c>
    </row>
    <row r="1634" spans="1:9">
      <c r="A1634" s="49">
        <v>45874</v>
      </c>
      <c r="B1634" s="50">
        <v>0.8000231481481481</v>
      </c>
      <c r="C1634" t="s">
        <v>150</v>
      </c>
      <c r="D1634" t="s">
        <v>37</v>
      </c>
      <c r="E1634" t="s">
        <v>438</v>
      </c>
      <c r="F1634" t="s">
        <v>510</v>
      </c>
      <c r="G1634">
        <v>-8000</v>
      </c>
      <c r="H1634" t="s">
        <v>153</v>
      </c>
      <c r="I1634" t="s">
        <v>214</v>
      </c>
    </row>
    <row r="1635" spans="1:9">
      <c r="A1635" s="49">
        <v>45874</v>
      </c>
      <c r="B1635" s="50">
        <v>0.7996064814814815</v>
      </c>
      <c r="C1635" t="s">
        <v>150</v>
      </c>
      <c r="D1635" t="s">
        <v>37</v>
      </c>
      <c r="E1635" t="s">
        <v>438</v>
      </c>
      <c r="F1635" t="s">
        <v>510</v>
      </c>
      <c r="G1635">
        <v>-8000</v>
      </c>
      <c r="H1635" t="s">
        <v>153</v>
      </c>
      <c r="I1635" t="s">
        <v>214</v>
      </c>
    </row>
    <row r="1636" spans="1:9">
      <c r="A1636" s="49">
        <v>45874</v>
      </c>
      <c r="B1636" s="50">
        <v>0.3954398148148148</v>
      </c>
      <c r="C1636" t="s">
        <v>150</v>
      </c>
      <c r="D1636" t="s">
        <v>44</v>
      </c>
      <c r="E1636" t="s">
        <v>162</v>
      </c>
      <c r="F1636" t="s">
        <v>163</v>
      </c>
      <c r="G1636">
        <v>-1900</v>
      </c>
      <c r="H1636" t="s">
        <v>153</v>
      </c>
      <c r="I1636" t="s">
        <v>164</v>
      </c>
    </row>
    <row r="1637" spans="1:9">
      <c r="A1637" s="49">
        <v>45874</v>
      </c>
      <c r="B1637" s="50">
        <v>0.2571064814814815</v>
      </c>
      <c r="C1637" t="s">
        <v>150</v>
      </c>
      <c r="D1637" t="s">
        <v>35</v>
      </c>
      <c r="E1637" t="s">
        <v>482</v>
      </c>
      <c r="F1637" t="s">
        <v>775</v>
      </c>
      <c r="G1637">
        <v>-13700</v>
      </c>
      <c r="H1637" t="s">
        <v>153</v>
      </c>
      <c r="I1637" t="s">
        <v>214</v>
      </c>
    </row>
    <row r="1638" spans="1:9">
      <c r="A1638" s="49">
        <v>45874</v>
      </c>
      <c r="B1638" s="50">
        <v>0.2571064814814815</v>
      </c>
      <c r="C1638" t="s">
        <v>150</v>
      </c>
      <c r="D1638" t="s">
        <v>35</v>
      </c>
      <c r="E1638" t="s">
        <v>169</v>
      </c>
      <c r="F1638" t="s">
        <v>776</v>
      </c>
      <c r="G1638">
        <v>-6000</v>
      </c>
      <c r="H1638" t="s">
        <v>153</v>
      </c>
      <c r="I1638" t="s">
        <v>214</v>
      </c>
    </row>
    <row r="1639" spans="1:9">
      <c r="A1639" s="49">
        <v>45874</v>
      </c>
      <c r="B1639" s="50">
        <v>0.03960648148148148</v>
      </c>
      <c r="C1639" t="s">
        <v>150</v>
      </c>
      <c r="D1639" t="s">
        <v>40</v>
      </c>
      <c r="E1639" t="s">
        <v>172</v>
      </c>
      <c r="F1639" t="s">
        <v>714</v>
      </c>
      <c r="G1639">
        <v>-1800</v>
      </c>
      <c r="H1639" t="s">
        <v>153</v>
      </c>
      <c r="I1639" t="s">
        <v>164</v>
      </c>
    </row>
    <row r="1640" spans="1:9">
      <c r="A1640" s="49">
        <v>45873</v>
      </c>
      <c r="B1640" s="50">
        <v>0.9434143518518519</v>
      </c>
      <c r="C1640" t="s">
        <v>155</v>
      </c>
      <c r="D1640" t="s">
        <v>155</v>
      </c>
      <c r="E1640" t="s">
        <v>32</v>
      </c>
      <c r="F1640" t="s">
        <v>777</v>
      </c>
      <c r="G1640">
        <v>499000</v>
      </c>
      <c r="H1640" t="s">
        <v>153</v>
      </c>
      <c r="I1640" t="s">
        <v>64</v>
      </c>
    </row>
    <row r="1641" spans="1:9">
      <c r="A1641" s="49">
        <v>45873</v>
      </c>
      <c r="B1641" s="50">
        <v>0.872349537037037</v>
      </c>
      <c r="C1641" t="s">
        <v>150</v>
      </c>
      <c r="D1641" t="s">
        <v>42</v>
      </c>
      <c r="E1641" t="s">
        <v>151</v>
      </c>
      <c r="F1641" t="s">
        <v>152</v>
      </c>
      <c r="G1641">
        <v>-30700</v>
      </c>
      <c r="H1641" t="s">
        <v>153</v>
      </c>
      <c r="I1641" t="s">
        <v>64</v>
      </c>
    </row>
    <row r="1642" spans="1:9">
      <c r="A1642" s="49">
        <v>45873</v>
      </c>
      <c r="B1642" s="50">
        <v>0.8176736111111111</v>
      </c>
      <c r="C1642" t="s">
        <v>155</v>
      </c>
      <c r="D1642" t="s">
        <v>155</v>
      </c>
      <c r="E1642" t="s">
        <v>32</v>
      </c>
      <c r="F1642" t="s">
        <v>246</v>
      </c>
      <c r="G1642">
        <v>-18640</v>
      </c>
      <c r="H1642" t="s">
        <v>153</v>
      </c>
      <c r="I1642" t="s">
        <v>64</v>
      </c>
    </row>
    <row r="1643" spans="1:9">
      <c r="A1643" s="49">
        <v>45873</v>
      </c>
      <c r="B1643" s="50">
        <v>0.8095486111111111</v>
      </c>
      <c r="C1643" t="s">
        <v>155</v>
      </c>
      <c r="D1643" t="s">
        <v>158</v>
      </c>
      <c r="E1643" t="s">
        <v>32</v>
      </c>
      <c r="F1643" t="s">
        <v>160</v>
      </c>
      <c r="G1643">
        <v>-10000</v>
      </c>
      <c r="H1643" t="s">
        <v>153</v>
      </c>
      <c r="I1643" t="s">
        <v>64</v>
      </c>
    </row>
    <row r="1644" spans="1:9">
      <c r="A1644" s="49">
        <v>45873</v>
      </c>
      <c r="B1644" s="50">
        <v>0.8095370370370371</v>
      </c>
      <c r="C1644" t="s">
        <v>150</v>
      </c>
      <c r="D1644" t="s">
        <v>35</v>
      </c>
      <c r="E1644" t="s">
        <v>169</v>
      </c>
      <c r="F1644" t="s">
        <v>563</v>
      </c>
      <c r="G1644">
        <v>-2337</v>
      </c>
      <c r="H1644" t="s">
        <v>153</v>
      </c>
      <c r="I1644" t="s">
        <v>164</v>
      </c>
    </row>
    <row r="1645" spans="1:9">
      <c r="A1645" s="49">
        <v>45873</v>
      </c>
      <c r="B1645" s="50">
        <v>0.8095370370370371</v>
      </c>
      <c r="C1645" t="s">
        <v>155</v>
      </c>
      <c r="D1645" t="s">
        <v>158</v>
      </c>
      <c r="E1645" t="s">
        <v>32</v>
      </c>
      <c r="F1645" t="s">
        <v>159</v>
      </c>
      <c r="G1645">
        <v>10000</v>
      </c>
      <c r="H1645" t="s">
        <v>153</v>
      </c>
      <c r="I1645" t="s">
        <v>157</v>
      </c>
    </row>
    <row r="1646" spans="1:9">
      <c r="A1646" s="49">
        <v>45873</v>
      </c>
      <c r="B1646" s="50">
        <v>0.7284375</v>
      </c>
      <c r="C1646" t="s">
        <v>155</v>
      </c>
      <c r="D1646" t="s">
        <v>155</v>
      </c>
      <c r="E1646" t="s">
        <v>32</v>
      </c>
      <c r="F1646" t="s">
        <v>706</v>
      </c>
      <c r="G1646">
        <v>390000</v>
      </c>
      <c r="H1646" t="s">
        <v>153</v>
      </c>
      <c r="I1646" t="s">
        <v>64</v>
      </c>
    </row>
    <row r="1647" spans="1:9">
      <c r="A1647" s="49">
        <v>45873</v>
      </c>
      <c r="B1647" s="50">
        <v>0.7080208333333333</v>
      </c>
      <c r="C1647" t="s">
        <v>150</v>
      </c>
      <c r="D1647" t="s">
        <v>42</v>
      </c>
      <c r="E1647" t="s">
        <v>674</v>
      </c>
      <c r="F1647" t="s">
        <v>778</v>
      </c>
      <c r="G1647">
        <v>-8100</v>
      </c>
      <c r="H1647" t="s">
        <v>153</v>
      </c>
      <c r="I1647" t="s">
        <v>214</v>
      </c>
    </row>
    <row r="1648" spans="1:9">
      <c r="A1648" s="49">
        <v>45873</v>
      </c>
      <c r="B1648" s="50">
        <v>0.6802777777777778</v>
      </c>
      <c r="C1648" t="s">
        <v>155</v>
      </c>
      <c r="D1648" t="s">
        <v>155</v>
      </c>
      <c r="E1648" t="s">
        <v>32</v>
      </c>
      <c r="F1648" t="s">
        <v>779</v>
      </c>
      <c r="G1648">
        <v>1300000</v>
      </c>
      <c r="H1648" t="s">
        <v>153</v>
      </c>
      <c r="I1648" t="s">
        <v>64</v>
      </c>
    </row>
    <row r="1649" spans="1:9">
      <c r="A1649" s="49">
        <v>45873</v>
      </c>
      <c r="B1649" s="50">
        <v>0.6659837962962963</v>
      </c>
      <c r="C1649" t="s">
        <v>155</v>
      </c>
      <c r="D1649" t="s">
        <v>155</v>
      </c>
      <c r="E1649" t="s">
        <v>32</v>
      </c>
      <c r="F1649" t="s">
        <v>780</v>
      </c>
      <c r="G1649">
        <v>499000</v>
      </c>
      <c r="H1649" t="s">
        <v>153</v>
      </c>
      <c r="I1649" t="s">
        <v>64</v>
      </c>
    </row>
    <row r="1650" spans="1:9">
      <c r="A1650" s="49">
        <v>45873</v>
      </c>
      <c r="B1650" s="50">
        <v>0.6434606481481482</v>
      </c>
      <c r="C1650" t="s">
        <v>150</v>
      </c>
      <c r="D1650" t="s">
        <v>44</v>
      </c>
      <c r="E1650" t="s">
        <v>260</v>
      </c>
      <c r="F1650" t="s">
        <v>261</v>
      </c>
      <c r="G1650">
        <v>-10000</v>
      </c>
      <c r="H1650" t="s">
        <v>153</v>
      </c>
      <c r="I1650" t="s">
        <v>64</v>
      </c>
    </row>
    <row r="1651" spans="1:9">
      <c r="A1651" s="49">
        <v>45873</v>
      </c>
      <c r="B1651" s="50">
        <v>0.505011574074074</v>
      </c>
      <c r="C1651" t="s">
        <v>155</v>
      </c>
      <c r="D1651" t="s">
        <v>155</v>
      </c>
      <c r="E1651" t="s">
        <v>32</v>
      </c>
      <c r="F1651" t="s">
        <v>781</v>
      </c>
      <c r="G1651">
        <v>499000</v>
      </c>
      <c r="H1651" t="s">
        <v>153</v>
      </c>
      <c r="I1651" t="s">
        <v>64</v>
      </c>
    </row>
    <row r="1652" spans="1:9">
      <c r="A1652" s="49">
        <v>45873</v>
      </c>
      <c r="B1652" s="50">
        <v>0.4900115740740741</v>
      </c>
      <c r="C1652" t="s">
        <v>150</v>
      </c>
      <c r="D1652" t="s">
        <v>35</v>
      </c>
      <c r="E1652" t="s">
        <v>169</v>
      </c>
      <c r="F1652" t="s">
        <v>170</v>
      </c>
      <c r="G1652">
        <v>-920</v>
      </c>
      <c r="H1652" t="s">
        <v>153</v>
      </c>
      <c r="I1652" t="s">
        <v>171</v>
      </c>
    </row>
    <row r="1653" spans="1:9">
      <c r="A1653" s="49">
        <v>45873</v>
      </c>
      <c r="B1653" s="50">
        <v>0.49</v>
      </c>
      <c r="C1653" t="s">
        <v>167</v>
      </c>
      <c r="D1653" t="s">
        <v>31</v>
      </c>
      <c r="E1653" t="s">
        <v>32</v>
      </c>
      <c r="F1653" t="s">
        <v>168</v>
      </c>
      <c r="G1653">
        <v>3000</v>
      </c>
      <c r="H1653" t="s">
        <v>153</v>
      </c>
      <c r="I1653" t="s">
        <v>64</v>
      </c>
    </row>
    <row r="1654" spans="1:9">
      <c r="A1654" s="49">
        <v>45873</v>
      </c>
      <c r="B1654" s="50">
        <v>0.4876388888888889</v>
      </c>
      <c r="C1654" t="s">
        <v>150</v>
      </c>
      <c r="D1654" t="s">
        <v>35</v>
      </c>
      <c r="E1654" t="s">
        <v>169</v>
      </c>
      <c r="F1654" t="s">
        <v>170</v>
      </c>
      <c r="G1654">
        <v>3000</v>
      </c>
      <c r="H1654" t="s">
        <v>153</v>
      </c>
      <c r="I1654" t="s">
        <v>171</v>
      </c>
    </row>
    <row r="1655" spans="1:9">
      <c r="A1655" s="49">
        <v>45873</v>
      </c>
      <c r="B1655" s="50">
        <v>0.4876388888888889</v>
      </c>
      <c r="C1655" t="s">
        <v>150</v>
      </c>
      <c r="D1655" t="s">
        <v>40</v>
      </c>
      <c r="E1655" t="s">
        <v>172</v>
      </c>
      <c r="F1655" t="s">
        <v>173</v>
      </c>
      <c r="G1655">
        <v>-3000</v>
      </c>
      <c r="H1655" t="s">
        <v>153</v>
      </c>
      <c r="I1655" t="s">
        <v>64</v>
      </c>
    </row>
    <row r="1656" spans="1:9">
      <c r="A1656" s="49">
        <v>45873</v>
      </c>
      <c r="B1656" s="50">
        <v>0.4395486111111111</v>
      </c>
      <c r="C1656" t="s">
        <v>150</v>
      </c>
      <c r="D1656" t="s">
        <v>44</v>
      </c>
      <c r="E1656" t="s">
        <v>225</v>
      </c>
      <c r="F1656" t="s">
        <v>372</v>
      </c>
      <c r="G1656">
        <v>-7890</v>
      </c>
      <c r="H1656" t="s">
        <v>153</v>
      </c>
      <c r="I1656" t="s">
        <v>64</v>
      </c>
    </row>
    <row r="1657" spans="1:9">
      <c r="A1657" s="49">
        <v>45873</v>
      </c>
      <c r="B1657" s="50">
        <v>0.4325810185185185</v>
      </c>
      <c r="C1657" t="s">
        <v>155</v>
      </c>
      <c r="D1657" t="s">
        <v>155</v>
      </c>
      <c r="E1657" t="s">
        <v>32</v>
      </c>
      <c r="F1657" t="s">
        <v>782</v>
      </c>
      <c r="G1657">
        <v>499000</v>
      </c>
      <c r="H1657" t="s">
        <v>153</v>
      </c>
      <c r="I1657" t="s">
        <v>64</v>
      </c>
    </row>
    <row r="1658" spans="1:9">
      <c r="A1658" s="49">
        <v>45873</v>
      </c>
      <c r="B1658" s="50">
        <v>0.03855324074074074</v>
      </c>
      <c r="C1658" t="s">
        <v>150</v>
      </c>
      <c r="D1658" t="s">
        <v>35</v>
      </c>
      <c r="E1658" t="s">
        <v>174</v>
      </c>
      <c r="F1658" t="s">
        <v>314</v>
      </c>
      <c r="G1658">
        <v>-10000</v>
      </c>
      <c r="H1658" t="s">
        <v>153</v>
      </c>
      <c r="I1658" t="s">
        <v>64</v>
      </c>
    </row>
    <row r="1659" spans="1:9">
      <c r="A1659" s="49">
        <v>45873</v>
      </c>
      <c r="B1659" s="50">
        <v>0.03135416666666667</v>
      </c>
      <c r="C1659" t="s">
        <v>155</v>
      </c>
      <c r="D1659" t="s">
        <v>155</v>
      </c>
      <c r="E1659" t="s">
        <v>32</v>
      </c>
      <c r="F1659" t="s">
        <v>783</v>
      </c>
      <c r="G1659">
        <v>499000</v>
      </c>
      <c r="H1659" t="s">
        <v>153</v>
      </c>
      <c r="I1659" t="s">
        <v>64</v>
      </c>
    </row>
    <row r="1660" spans="1:9">
      <c r="A1660" s="49">
        <v>45872</v>
      </c>
      <c r="B1660" s="50">
        <v>0.9119444444444444</v>
      </c>
      <c r="C1660" t="s">
        <v>150</v>
      </c>
      <c r="D1660" t="s">
        <v>44</v>
      </c>
      <c r="E1660" t="s">
        <v>260</v>
      </c>
      <c r="F1660" t="s">
        <v>261</v>
      </c>
      <c r="G1660">
        <v>-20000</v>
      </c>
      <c r="H1660" t="s">
        <v>153</v>
      </c>
      <c r="I1660" t="s">
        <v>64</v>
      </c>
    </row>
    <row r="1661" spans="1:9">
      <c r="A1661" s="49">
        <v>45872</v>
      </c>
      <c r="B1661" s="50">
        <v>0.8823263888888889</v>
      </c>
      <c r="C1661" t="s">
        <v>155</v>
      </c>
      <c r="D1661" t="s">
        <v>155</v>
      </c>
      <c r="E1661" t="s">
        <v>32</v>
      </c>
      <c r="F1661" t="s">
        <v>246</v>
      </c>
      <c r="G1661">
        <v>-8380</v>
      </c>
      <c r="H1661" t="s">
        <v>153</v>
      </c>
      <c r="I1661" t="s">
        <v>64</v>
      </c>
    </row>
    <row r="1662" spans="1:9">
      <c r="A1662" s="49">
        <v>45872</v>
      </c>
      <c r="B1662" s="50">
        <v>0.8659490740740741</v>
      </c>
      <c r="C1662" t="s">
        <v>150</v>
      </c>
      <c r="D1662" t="s">
        <v>48</v>
      </c>
      <c r="E1662" t="s">
        <v>185</v>
      </c>
      <c r="F1662" t="s">
        <v>784</v>
      </c>
      <c r="G1662">
        <v>-4000</v>
      </c>
      <c r="H1662" t="s">
        <v>153</v>
      </c>
      <c r="I1662" t="s">
        <v>214</v>
      </c>
    </row>
    <row r="1663" spans="1:9">
      <c r="A1663" s="49">
        <v>45872</v>
      </c>
      <c r="B1663" s="50">
        <v>0.8654166666666666</v>
      </c>
      <c r="C1663" t="s">
        <v>150</v>
      </c>
      <c r="D1663" t="s">
        <v>48</v>
      </c>
      <c r="E1663" t="s">
        <v>185</v>
      </c>
      <c r="F1663" t="s">
        <v>784</v>
      </c>
      <c r="G1663">
        <v>-4000</v>
      </c>
      <c r="H1663" t="s">
        <v>153</v>
      </c>
      <c r="I1663" t="s">
        <v>214</v>
      </c>
    </row>
    <row r="1664" spans="1:9">
      <c r="A1664" s="49">
        <v>45872</v>
      </c>
      <c r="B1664" s="50">
        <v>0.8359722222222222</v>
      </c>
      <c r="C1664" t="s">
        <v>150</v>
      </c>
      <c r="D1664" t="s">
        <v>42</v>
      </c>
      <c r="E1664" t="s">
        <v>463</v>
      </c>
      <c r="F1664" t="s">
        <v>785</v>
      </c>
      <c r="G1664">
        <v>-69500</v>
      </c>
      <c r="H1664" t="s">
        <v>153</v>
      </c>
      <c r="I1664" t="s">
        <v>214</v>
      </c>
    </row>
    <row r="1665" spans="1:9">
      <c r="A1665" s="49">
        <v>45872</v>
      </c>
      <c r="B1665" s="50">
        <v>0.7871759259259259</v>
      </c>
      <c r="C1665" t="s">
        <v>155</v>
      </c>
      <c r="D1665" t="s">
        <v>155</v>
      </c>
      <c r="E1665" t="s">
        <v>32</v>
      </c>
      <c r="F1665" t="s">
        <v>786</v>
      </c>
      <c r="G1665">
        <v>499000</v>
      </c>
      <c r="H1665" t="s">
        <v>153</v>
      </c>
      <c r="I1665" t="s">
        <v>64</v>
      </c>
    </row>
    <row r="1666" spans="1:9">
      <c r="A1666" s="49">
        <v>45872</v>
      </c>
      <c r="B1666" s="50">
        <v>0.1112384259259259</v>
      </c>
      <c r="C1666" t="s">
        <v>150</v>
      </c>
      <c r="D1666" t="s">
        <v>42</v>
      </c>
      <c r="E1666" t="s">
        <v>177</v>
      </c>
      <c r="F1666" t="s">
        <v>787</v>
      </c>
      <c r="G1666">
        <v>11000</v>
      </c>
      <c r="H1666" t="s">
        <v>153</v>
      </c>
      <c r="I1666" t="s">
        <v>214</v>
      </c>
    </row>
    <row r="1667" spans="1:9">
      <c r="A1667" s="49">
        <v>45872</v>
      </c>
      <c r="B1667" s="50">
        <v>0.1108796296296296</v>
      </c>
      <c r="C1667" t="s">
        <v>150</v>
      </c>
      <c r="D1667" t="s">
        <v>42</v>
      </c>
      <c r="E1667" t="s">
        <v>177</v>
      </c>
      <c r="F1667" t="s">
        <v>787</v>
      </c>
      <c r="G1667">
        <v>90000</v>
      </c>
      <c r="H1667" t="s">
        <v>153</v>
      </c>
      <c r="I1667" t="s">
        <v>214</v>
      </c>
    </row>
    <row r="1668" spans="1:9">
      <c r="A1668" s="49">
        <v>45872</v>
      </c>
      <c r="B1668" s="50">
        <v>0.07991898148148148</v>
      </c>
      <c r="C1668" t="s">
        <v>150</v>
      </c>
      <c r="D1668" t="s">
        <v>42</v>
      </c>
      <c r="E1668" t="s">
        <v>177</v>
      </c>
      <c r="F1668" t="s">
        <v>787</v>
      </c>
      <c r="G1668">
        <v>-11000</v>
      </c>
      <c r="H1668" t="s">
        <v>153</v>
      </c>
      <c r="I1668" t="s">
        <v>214</v>
      </c>
    </row>
    <row r="1669" spans="1:9">
      <c r="A1669" s="49">
        <v>45872</v>
      </c>
      <c r="B1669" s="50">
        <v>0.07954861111111111</v>
      </c>
      <c r="C1669" t="s">
        <v>150</v>
      </c>
      <c r="D1669" t="s">
        <v>42</v>
      </c>
      <c r="E1669" t="s">
        <v>177</v>
      </c>
      <c r="F1669" t="s">
        <v>787</v>
      </c>
      <c r="G1669">
        <v>-90000</v>
      </c>
      <c r="H1669" t="s">
        <v>153</v>
      </c>
      <c r="I1669" t="s">
        <v>214</v>
      </c>
    </row>
    <row r="1670" spans="1:9">
      <c r="A1670" s="49">
        <v>45871</v>
      </c>
      <c r="B1670" s="50">
        <v>0.9578472222222222</v>
      </c>
      <c r="C1670" t="s">
        <v>155</v>
      </c>
      <c r="D1670" t="s">
        <v>155</v>
      </c>
      <c r="E1670" t="s">
        <v>32</v>
      </c>
      <c r="F1670" t="s">
        <v>788</v>
      </c>
      <c r="G1670">
        <v>499000</v>
      </c>
      <c r="H1670" t="s">
        <v>153</v>
      </c>
      <c r="I1670" t="s">
        <v>64</v>
      </c>
    </row>
    <row r="1671" spans="1:9">
      <c r="A1671" s="49">
        <v>45871</v>
      </c>
      <c r="B1671" s="50">
        <v>0.9141782407407407</v>
      </c>
      <c r="C1671" t="s">
        <v>150</v>
      </c>
      <c r="D1671" t="s">
        <v>40</v>
      </c>
      <c r="E1671" t="s">
        <v>172</v>
      </c>
      <c r="F1671" t="s">
        <v>789</v>
      </c>
      <c r="G1671">
        <v>0</v>
      </c>
      <c r="H1671" t="s">
        <v>153</v>
      </c>
      <c r="I1671" t="s">
        <v>164</v>
      </c>
    </row>
    <row r="1672" spans="1:9">
      <c r="A1672" s="49">
        <v>45871</v>
      </c>
      <c r="B1672" s="50">
        <v>0.8958912037037037</v>
      </c>
      <c r="C1672" t="s">
        <v>155</v>
      </c>
      <c r="D1672" t="s">
        <v>155</v>
      </c>
      <c r="E1672" t="s">
        <v>32</v>
      </c>
      <c r="F1672" t="s">
        <v>790</v>
      </c>
      <c r="G1672">
        <v>499000</v>
      </c>
      <c r="H1672" t="s">
        <v>153</v>
      </c>
      <c r="I1672" t="s">
        <v>64</v>
      </c>
    </row>
    <row r="1673" spans="1:9">
      <c r="A1673" s="49">
        <v>45871</v>
      </c>
      <c r="B1673" s="50">
        <v>0.8151388888888889</v>
      </c>
      <c r="C1673" t="s">
        <v>150</v>
      </c>
      <c r="D1673" t="s">
        <v>40</v>
      </c>
      <c r="E1673" t="s">
        <v>172</v>
      </c>
      <c r="F1673" t="s">
        <v>791</v>
      </c>
      <c r="G1673">
        <v>0</v>
      </c>
      <c r="H1673" t="s">
        <v>153</v>
      </c>
      <c r="I1673" t="s">
        <v>164</v>
      </c>
    </row>
    <row r="1674" spans="1:9">
      <c r="A1674" s="49">
        <v>45871</v>
      </c>
      <c r="B1674" s="50">
        <v>0.7674189814814815</v>
      </c>
      <c r="C1674" t="s">
        <v>150</v>
      </c>
      <c r="D1674" t="s">
        <v>36</v>
      </c>
      <c r="E1674" t="s">
        <v>191</v>
      </c>
      <c r="F1674" t="s">
        <v>192</v>
      </c>
      <c r="G1674">
        <v>-1700</v>
      </c>
      <c r="H1674" t="s">
        <v>153</v>
      </c>
      <c r="I1674" t="s">
        <v>157</v>
      </c>
    </row>
    <row r="1675" spans="1:9">
      <c r="A1675" s="49">
        <v>45871</v>
      </c>
      <c r="B1675" s="50">
        <v>0.4814699074074074</v>
      </c>
      <c r="C1675" t="s">
        <v>150</v>
      </c>
      <c r="D1675" t="s">
        <v>35</v>
      </c>
      <c r="E1675" t="s">
        <v>169</v>
      </c>
      <c r="F1675" t="s">
        <v>170</v>
      </c>
      <c r="G1675">
        <v>-4900</v>
      </c>
      <c r="H1675" t="s">
        <v>153</v>
      </c>
      <c r="I1675" t="s">
        <v>171</v>
      </c>
    </row>
    <row r="1676" spans="1:9">
      <c r="A1676" s="49">
        <v>45871</v>
      </c>
      <c r="B1676" s="50">
        <v>0.4445370370370371</v>
      </c>
      <c r="C1676" t="s">
        <v>150</v>
      </c>
      <c r="D1676" t="s">
        <v>48</v>
      </c>
      <c r="E1676" t="s">
        <v>185</v>
      </c>
      <c r="F1676" t="s">
        <v>550</v>
      </c>
      <c r="G1676">
        <v>-11400</v>
      </c>
      <c r="H1676" t="s">
        <v>153</v>
      </c>
      <c r="I1676" t="s">
        <v>214</v>
      </c>
    </row>
    <row r="1677" spans="1:9">
      <c r="A1677" s="49">
        <v>45871</v>
      </c>
      <c r="B1677" s="50">
        <v>0.04084490740740741</v>
      </c>
      <c r="C1677" t="s">
        <v>150</v>
      </c>
      <c r="D1677" t="s">
        <v>40</v>
      </c>
      <c r="E1677" t="s">
        <v>172</v>
      </c>
      <c r="F1677" t="s">
        <v>714</v>
      </c>
      <c r="G1677">
        <v>-4650</v>
      </c>
      <c r="H1677" t="s">
        <v>153</v>
      </c>
      <c r="I1677" t="s">
        <v>164</v>
      </c>
    </row>
    <row r="1678" spans="1:9">
      <c r="A1678" s="49">
        <v>45870</v>
      </c>
      <c r="B1678" s="50">
        <v>0.988900462962963</v>
      </c>
      <c r="C1678" t="s">
        <v>155</v>
      </c>
      <c r="D1678" t="s">
        <v>155</v>
      </c>
      <c r="E1678" t="s">
        <v>32</v>
      </c>
      <c r="F1678" t="s">
        <v>673</v>
      </c>
      <c r="G1678">
        <v>370000</v>
      </c>
      <c r="H1678" t="s">
        <v>153</v>
      </c>
      <c r="I1678" t="s">
        <v>64</v>
      </c>
    </row>
    <row r="1679" spans="1:9">
      <c r="A1679" s="49">
        <v>45870</v>
      </c>
      <c r="B1679" s="50">
        <v>0.9609722222222222</v>
      </c>
      <c r="C1679" t="s">
        <v>150</v>
      </c>
      <c r="D1679" t="s">
        <v>48</v>
      </c>
      <c r="E1679" t="s">
        <v>185</v>
      </c>
      <c r="F1679" t="s">
        <v>792</v>
      </c>
      <c r="G1679">
        <v>-1800</v>
      </c>
      <c r="H1679" t="s">
        <v>153</v>
      </c>
      <c r="I1679" t="s">
        <v>214</v>
      </c>
    </row>
    <row r="1680" spans="1:9">
      <c r="A1680" s="49">
        <v>45870</v>
      </c>
      <c r="B1680" s="50">
        <v>0.8837037037037037</v>
      </c>
      <c r="C1680" t="s">
        <v>150</v>
      </c>
      <c r="D1680" t="s">
        <v>35</v>
      </c>
      <c r="E1680" t="s">
        <v>174</v>
      </c>
      <c r="F1680" t="s">
        <v>314</v>
      </c>
      <c r="G1680">
        <v>-10000</v>
      </c>
      <c r="H1680" t="s">
        <v>153</v>
      </c>
      <c r="I1680" t="s">
        <v>64</v>
      </c>
    </row>
    <row r="1681" spans="1:9">
      <c r="A1681" s="49">
        <v>45870</v>
      </c>
      <c r="B1681" s="50">
        <v>0.5980787037037038</v>
      </c>
      <c r="C1681" t="s">
        <v>155</v>
      </c>
      <c r="D1681" t="s">
        <v>155</v>
      </c>
      <c r="E1681" t="s">
        <v>32</v>
      </c>
      <c r="F1681" t="s">
        <v>779</v>
      </c>
      <c r="G1681">
        <v>499000</v>
      </c>
      <c r="H1681" t="s">
        <v>153</v>
      </c>
      <c r="I1681" t="s">
        <v>64</v>
      </c>
    </row>
    <row r="1682" spans="1:9">
      <c r="A1682" s="49">
        <v>45870</v>
      </c>
      <c r="B1682" s="50">
        <v>0.5938541666666667</v>
      </c>
      <c r="C1682" t="s">
        <v>150</v>
      </c>
      <c r="D1682" t="s">
        <v>42</v>
      </c>
      <c r="E1682" t="s">
        <v>151</v>
      </c>
      <c r="F1682" t="s">
        <v>152</v>
      </c>
      <c r="G1682">
        <v>-10000</v>
      </c>
      <c r="H1682" t="s">
        <v>153</v>
      </c>
      <c r="I1682" t="s">
        <v>64</v>
      </c>
    </row>
    <row r="1683" spans="1:9">
      <c r="A1683" s="49">
        <v>45870</v>
      </c>
      <c r="B1683" s="50">
        <v>0.5467939814814815</v>
      </c>
      <c r="C1683" t="s">
        <v>155</v>
      </c>
      <c r="D1683" t="s">
        <v>155</v>
      </c>
      <c r="E1683" t="s">
        <v>32</v>
      </c>
      <c r="F1683" t="s">
        <v>246</v>
      </c>
      <c r="G1683">
        <v>-19250</v>
      </c>
      <c r="H1683" t="s">
        <v>153</v>
      </c>
      <c r="I1683" t="s">
        <v>64</v>
      </c>
    </row>
    <row r="1684" spans="1:9">
      <c r="A1684" s="49">
        <v>45870</v>
      </c>
      <c r="B1684" s="50">
        <v>0.4346412037037037</v>
      </c>
      <c r="C1684" t="s">
        <v>150</v>
      </c>
      <c r="D1684" t="s">
        <v>48</v>
      </c>
      <c r="E1684" t="s">
        <v>629</v>
      </c>
      <c r="F1684" t="s">
        <v>793</v>
      </c>
      <c r="G1684">
        <v>-7600</v>
      </c>
      <c r="H1684" t="s">
        <v>153</v>
      </c>
      <c r="I1684" t="s">
        <v>214</v>
      </c>
    </row>
    <row r="1685" spans="1:9">
      <c r="A1685" s="49">
        <v>45869</v>
      </c>
      <c r="B1685" s="50">
        <v>0.9364583333333333</v>
      </c>
      <c r="C1685" t="s">
        <v>155</v>
      </c>
      <c r="D1685" t="s">
        <v>155</v>
      </c>
      <c r="E1685" t="s">
        <v>32</v>
      </c>
      <c r="F1685" t="s">
        <v>794</v>
      </c>
      <c r="G1685">
        <v>499000</v>
      </c>
      <c r="H1685" t="s">
        <v>153</v>
      </c>
      <c r="I1685" t="s">
        <v>64</v>
      </c>
    </row>
    <row r="1686" spans="1:9">
      <c r="A1686" s="49">
        <v>45869</v>
      </c>
      <c r="B1686" s="50">
        <v>0.8192476851851852</v>
      </c>
      <c r="C1686" t="s">
        <v>150</v>
      </c>
      <c r="D1686" t="s">
        <v>48</v>
      </c>
      <c r="E1686" t="s">
        <v>185</v>
      </c>
      <c r="F1686" t="s">
        <v>718</v>
      </c>
      <c r="G1686">
        <v>-13500</v>
      </c>
      <c r="H1686" t="s">
        <v>153</v>
      </c>
      <c r="I1686" t="s">
        <v>214</v>
      </c>
    </row>
    <row r="1687" spans="1:9">
      <c r="A1687" s="49">
        <v>45869</v>
      </c>
      <c r="B1687" s="50">
        <v>0.7905787037037038</v>
      </c>
      <c r="C1687" t="s">
        <v>155</v>
      </c>
      <c r="D1687" t="s">
        <v>155</v>
      </c>
      <c r="E1687" t="s">
        <v>32</v>
      </c>
      <c r="F1687" t="s">
        <v>795</v>
      </c>
      <c r="G1687">
        <v>499900</v>
      </c>
      <c r="H1687" t="s">
        <v>153</v>
      </c>
      <c r="I1687" t="s">
        <v>64</v>
      </c>
    </row>
    <row r="1688" spans="1:9">
      <c r="A1688" s="49">
        <v>45869</v>
      </c>
      <c r="B1688" s="50">
        <v>0.6540393518518518</v>
      </c>
      <c r="C1688" t="s">
        <v>155</v>
      </c>
      <c r="D1688" t="s">
        <v>155</v>
      </c>
      <c r="E1688" t="s">
        <v>32</v>
      </c>
      <c r="F1688" t="s">
        <v>796</v>
      </c>
      <c r="G1688">
        <v>349000</v>
      </c>
      <c r="H1688" t="s">
        <v>153</v>
      </c>
      <c r="I1688" t="s">
        <v>64</v>
      </c>
    </row>
    <row r="1689" spans="1:9">
      <c r="A1689" s="49">
        <v>45869</v>
      </c>
      <c r="B1689" s="50">
        <v>0.6464236111111111</v>
      </c>
      <c r="C1689" t="s">
        <v>155</v>
      </c>
      <c r="D1689" t="s">
        <v>155</v>
      </c>
      <c r="E1689" t="s">
        <v>32</v>
      </c>
      <c r="F1689" t="s">
        <v>797</v>
      </c>
      <c r="G1689">
        <v>499000</v>
      </c>
      <c r="H1689" t="s">
        <v>153</v>
      </c>
      <c r="I1689" t="s">
        <v>64</v>
      </c>
    </row>
    <row r="1690" spans="1:9">
      <c r="A1690" s="49">
        <v>45869</v>
      </c>
      <c r="B1690" s="50">
        <v>0.5928009259259259</v>
      </c>
      <c r="C1690" t="s">
        <v>150</v>
      </c>
      <c r="D1690" t="s">
        <v>42</v>
      </c>
      <c r="E1690" t="s">
        <v>151</v>
      </c>
      <c r="F1690" t="s">
        <v>152</v>
      </c>
      <c r="G1690">
        <v>-15600</v>
      </c>
      <c r="H1690" t="s">
        <v>153</v>
      </c>
      <c r="I1690" t="s">
        <v>64</v>
      </c>
    </row>
    <row r="1691" spans="1:9">
      <c r="A1691" s="49">
        <v>45868</v>
      </c>
      <c r="B1691" s="50">
        <v>0.9785300925925926</v>
      </c>
      <c r="C1691" t="s">
        <v>155</v>
      </c>
      <c r="D1691" t="s">
        <v>155</v>
      </c>
      <c r="E1691" t="s">
        <v>32</v>
      </c>
      <c r="F1691" t="s">
        <v>798</v>
      </c>
      <c r="G1691">
        <v>499000</v>
      </c>
      <c r="H1691" t="s">
        <v>153</v>
      </c>
      <c r="I1691" t="s">
        <v>64</v>
      </c>
    </row>
    <row r="1692" spans="1:9">
      <c r="A1692" s="49">
        <v>45868</v>
      </c>
      <c r="B1692" s="50">
        <v>0.7088888888888889</v>
      </c>
      <c r="C1692" t="s">
        <v>150</v>
      </c>
      <c r="D1692" t="s">
        <v>40</v>
      </c>
      <c r="E1692" t="s">
        <v>172</v>
      </c>
      <c r="F1692" t="s">
        <v>383</v>
      </c>
      <c r="G1692">
        <v>0</v>
      </c>
      <c r="H1692" t="s">
        <v>153</v>
      </c>
      <c r="I1692" t="s">
        <v>164</v>
      </c>
    </row>
    <row r="1693" spans="1:9">
      <c r="A1693" s="49">
        <v>45868</v>
      </c>
      <c r="B1693" s="50">
        <v>0.5458101851851852</v>
      </c>
      <c r="C1693" t="s">
        <v>150</v>
      </c>
      <c r="D1693" t="s">
        <v>40</v>
      </c>
      <c r="E1693" t="s">
        <v>172</v>
      </c>
      <c r="F1693" t="s">
        <v>552</v>
      </c>
      <c r="G1693">
        <v>0</v>
      </c>
      <c r="H1693" t="s">
        <v>153</v>
      </c>
      <c r="I1693" t="s">
        <v>164</v>
      </c>
    </row>
    <row r="1694" spans="1:9">
      <c r="A1694" s="49">
        <v>45867</v>
      </c>
      <c r="B1694" s="50">
        <v>0.9663425925925926</v>
      </c>
      <c r="C1694" t="s">
        <v>150</v>
      </c>
      <c r="D1694" t="s">
        <v>40</v>
      </c>
      <c r="E1694" t="s">
        <v>172</v>
      </c>
      <c r="F1694" t="s">
        <v>714</v>
      </c>
      <c r="G1694">
        <v>-1400</v>
      </c>
      <c r="H1694" t="s">
        <v>153</v>
      </c>
      <c r="I1694" t="s">
        <v>164</v>
      </c>
    </row>
    <row r="1695" spans="1:9">
      <c r="A1695" s="49">
        <v>45867</v>
      </c>
      <c r="B1695" s="50">
        <v>0.9663425925925926</v>
      </c>
      <c r="C1695" t="s">
        <v>155</v>
      </c>
      <c r="D1695" t="s">
        <v>158</v>
      </c>
      <c r="E1695" t="s">
        <v>32</v>
      </c>
      <c r="F1695" t="s">
        <v>159</v>
      </c>
      <c r="G1695">
        <v>10000</v>
      </c>
      <c r="H1695" t="s">
        <v>153</v>
      </c>
      <c r="I1695" t="s">
        <v>157</v>
      </c>
    </row>
    <row r="1696" spans="1:9">
      <c r="A1696" s="49">
        <v>45867</v>
      </c>
      <c r="B1696" s="50">
        <v>0.9663425925925926</v>
      </c>
      <c r="C1696" t="s">
        <v>155</v>
      </c>
      <c r="D1696" t="s">
        <v>158</v>
      </c>
      <c r="E1696" t="s">
        <v>32</v>
      </c>
      <c r="F1696" t="s">
        <v>160</v>
      </c>
      <c r="G1696">
        <v>-10000</v>
      </c>
      <c r="H1696" t="s">
        <v>153</v>
      </c>
      <c r="I1696" t="s">
        <v>64</v>
      </c>
    </row>
    <row r="1697" spans="1:9">
      <c r="A1697" s="49">
        <v>45867</v>
      </c>
      <c r="B1697" s="50">
        <v>0.684224537037037</v>
      </c>
      <c r="C1697" t="s">
        <v>150</v>
      </c>
      <c r="D1697" t="s">
        <v>42</v>
      </c>
      <c r="E1697" t="s">
        <v>151</v>
      </c>
      <c r="F1697" t="s">
        <v>152</v>
      </c>
      <c r="G1697">
        <v>-14500</v>
      </c>
      <c r="H1697" t="s">
        <v>153</v>
      </c>
      <c r="I1697" t="s">
        <v>64</v>
      </c>
    </row>
    <row r="1698" spans="1:9">
      <c r="A1698" s="49">
        <v>45867</v>
      </c>
      <c r="B1698" s="50">
        <v>0.6563310185185185</v>
      </c>
      <c r="C1698" t="s">
        <v>155</v>
      </c>
      <c r="D1698" t="s">
        <v>158</v>
      </c>
      <c r="E1698" t="s">
        <v>32</v>
      </c>
      <c r="F1698" t="s">
        <v>7</v>
      </c>
      <c r="G1698">
        <v>-2500000</v>
      </c>
      <c r="H1698" t="s">
        <v>153</v>
      </c>
      <c r="I1698" t="s">
        <v>64</v>
      </c>
    </row>
    <row r="1699" spans="1:9">
      <c r="A1699" s="49">
        <v>45867</v>
      </c>
      <c r="B1699" s="50">
        <v>0.6558333333333334</v>
      </c>
      <c r="C1699" t="s">
        <v>155</v>
      </c>
      <c r="D1699" t="s">
        <v>158</v>
      </c>
      <c r="E1699" t="s">
        <v>32</v>
      </c>
      <c r="F1699" t="s">
        <v>7</v>
      </c>
      <c r="G1699">
        <v>2000000</v>
      </c>
      <c r="H1699" t="s">
        <v>153</v>
      </c>
      <c r="I1699" t="s">
        <v>64</v>
      </c>
    </row>
    <row r="1700" spans="1:9">
      <c r="A1700" s="49">
        <v>45867</v>
      </c>
      <c r="B1700" s="50">
        <v>0.6558217592592592</v>
      </c>
      <c r="C1700" t="s">
        <v>155</v>
      </c>
      <c r="D1700" t="s">
        <v>158</v>
      </c>
      <c r="E1700" t="s">
        <v>32</v>
      </c>
      <c r="F1700" t="s">
        <v>159</v>
      </c>
      <c r="G1700">
        <v>-2000000</v>
      </c>
      <c r="H1700" t="s">
        <v>153</v>
      </c>
      <c r="I1700" t="s">
        <v>157</v>
      </c>
    </row>
    <row r="1701" spans="1:9">
      <c r="A1701" s="49">
        <v>45867</v>
      </c>
      <c r="B1701" s="50">
        <v>0.6544328703703703</v>
      </c>
      <c r="C1701" t="s">
        <v>155</v>
      </c>
      <c r="D1701" t="s">
        <v>158</v>
      </c>
      <c r="E1701" t="s">
        <v>32</v>
      </c>
      <c r="F1701" t="s">
        <v>160</v>
      </c>
      <c r="G1701">
        <v>-2000000</v>
      </c>
      <c r="H1701" t="s">
        <v>153</v>
      </c>
      <c r="I1701" t="s">
        <v>64</v>
      </c>
    </row>
    <row r="1702" spans="1:9">
      <c r="A1702" s="49">
        <v>45867</v>
      </c>
      <c r="B1702" s="50">
        <v>0.6544212962962963</v>
      </c>
      <c r="C1702" t="s">
        <v>155</v>
      </c>
      <c r="D1702" t="s">
        <v>158</v>
      </c>
      <c r="E1702" t="s">
        <v>32</v>
      </c>
      <c r="F1702" t="s">
        <v>159</v>
      </c>
      <c r="G1702">
        <v>2000000</v>
      </c>
      <c r="H1702" t="s">
        <v>153</v>
      </c>
      <c r="I1702" t="s">
        <v>157</v>
      </c>
    </row>
    <row r="1703" spans="1:9">
      <c r="A1703" s="49">
        <v>45867</v>
      </c>
      <c r="B1703" s="50">
        <v>0.5655555555555556</v>
      </c>
      <c r="C1703" t="s">
        <v>150</v>
      </c>
      <c r="D1703" t="s">
        <v>44</v>
      </c>
      <c r="E1703" t="s">
        <v>225</v>
      </c>
      <c r="F1703" t="s">
        <v>395</v>
      </c>
      <c r="G1703">
        <v>-14900</v>
      </c>
      <c r="H1703" t="s">
        <v>153</v>
      </c>
      <c r="I1703" t="s">
        <v>171</v>
      </c>
    </row>
    <row r="1704" spans="1:9">
      <c r="A1704" s="49">
        <v>45867</v>
      </c>
      <c r="B1704" s="50">
        <v>0.3275462962962963</v>
      </c>
      <c r="C1704" t="s">
        <v>150</v>
      </c>
      <c r="D1704" t="s">
        <v>44</v>
      </c>
      <c r="E1704" t="s">
        <v>315</v>
      </c>
      <c r="F1704" t="s">
        <v>316</v>
      </c>
      <c r="G1704">
        <v>-14000</v>
      </c>
      <c r="H1704" t="s">
        <v>153</v>
      </c>
      <c r="I1704" t="s">
        <v>164</v>
      </c>
    </row>
    <row r="1705" spans="1:9">
      <c r="A1705" s="49">
        <v>45866</v>
      </c>
      <c r="B1705" s="50">
        <v>0.9551041666666666</v>
      </c>
      <c r="C1705" t="s">
        <v>155</v>
      </c>
      <c r="D1705" t="s">
        <v>155</v>
      </c>
      <c r="E1705" t="s">
        <v>32</v>
      </c>
      <c r="F1705" t="s">
        <v>799</v>
      </c>
      <c r="G1705">
        <v>-499000</v>
      </c>
      <c r="H1705" t="s">
        <v>153</v>
      </c>
      <c r="I1705" t="s">
        <v>157</v>
      </c>
    </row>
    <row r="1706" spans="1:9">
      <c r="A1706" s="49">
        <v>45866</v>
      </c>
      <c r="B1706" s="50">
        <v>0.9550925925925926</v>
      </c>
      <c r="C1706" t="s">
        <v>155</v>
      </c>
      <c r="D1706" t="s">
        <v>158</v>
      </c>
      <c r="E1706" t="s">
        <v>32</v>
      </c>
      <c r="F1706" t="s">
        <v>159</v>
      </c>
      <c r="G1706">
        <v>490824</v>
      </c>
      <c r="H1706" t="s">
        <v>153</v>
      </c>
      <c r="I1706" t="s">
        <v>157</v>
      </c>
    </row>
    <row r="1707" spans="1:9">
      <c r="A1707" s="49">
        <v>45866</v>
      </c>
      <c r="B1707" s="50">
        <v>0.9550925925925926</v>
      </c>
      <c r="C1707" t="s">
        <v>155</v>
      </c>
      <c r="D1707" t="s">
        <v>158</v>
      </c>
      <c r="E1707" t="s">
        <v>32</v>
      </c>
      <c r="F1707" t="s">
        <v>160</v>
      </c>
      <c r="G1707">
        <v>-490824</v>
      </c>
      <c r="H1707" t="s">
        <v>153</v>
      </c>
      <c r="I1707" t="s">
        <v>64</v>
      </c>
    </row>
    <row r="1708" spans="1:9">
      <c r="A1708" s="49">
        <v>45866</v>
      </c>
      <c r="B1708" s="50">
        <v>0.8490509259259259</v>
      </c>
      <c r="C1708" t="s">
        <v>150</v>
      </c>
      <c r="D1708" t="s">
        <v>48</v>
      </c>
      <c r="E1708" t="s">
        <v>185</v>
      </c>
      <c r="F1708" t="s">
        <v>800</v>
      </c>
      <c r="G1708">
        <v>-118000</v>
      </c>
      <c r="H1708" t="s">
        <v>153</v>
      </c>
      <c r="I1708" t="s">
        <v>214</v>
      </c>
    </row>
    <row r="1709" spans="1:9">
      <c r="A1709" s="49">
        <v>45866</v>
      </c>
      <c r="B1709" s="50">
        <v>0.7803703703703704</v>
      </c>
      <c r="C1709" t="s">
        <v>155</v>
      </c>
      <c r="D1709" t="s">
        <v>155</v>
      </c>
      <c r="E1709" t="s">
        <v>32</v>
      </c>
      <c r="F1709" t="s">
        <v>801</v>
      </c>
      <c r="G1709">
        <v>499000</v>
      </c>
      <c r="H1709" t="s">
        <v>153</v>
      </c>
      <c r="I1709" t="s">
        <v>64</v>
      </c>
    </row>
    <row r="1710" spans="1:9">
      <c r="A1710" s="49">
        <v>45866</v>
      </c>
      <c r="B1710" s="50">
        <v>0.6614814814814814</v>
      </c>
      <c r="C1710" t="s">
        <v>155</v>
      </c>
      <c r="D1710" t="s">
        <v>155</v>
      </c>
      <c r="E1710" t="s">
        <v>32</v>
      </c>
      <c r="F1710" t="s">
        <v>246</v>
      </c>
      <c r="G1710">
        <v>-8590</v>
      </c>
      <c r="H1710" t="s">
        <v>153</v>
      </c>
      <c r="I1710" t="s">
        <v>64</v>
      </c>
    </row>
    <row r="1711" spans="1:9">
      <c r="A1711" s="49">
        <v>45866</v>
      </c>
      <c r="B1711" s="50">
        <v>0.6611458333333333</v>
      </c>
      <c r="C1711" t="s">
        <v>155</v>
      </c>
      <c r="D1711" t="s">
        <v>155</v>
      </c>
      <c r="E1711" t="s">
        <v>32</v>
      </c>
      <c r="F1711" t="s">
        <v>246</v>
      </c>
      <c r="G1711">
        <v>-9800</v>
      </c>
      <c r="H1711" t="s">
        <v>153</v>
      </c>
      <c r="I1711" t="s">
        <v>64</v>
      </c>
    </row>
    <row r="1712" spans="1:9">
      <c r="A1712" s="49">
        <v>45866</v>
      </c>
      <c r="B1712" s="50">
        <v>0.6566087962962963</v>
      </c>
      <c r="C1712" t="s">
        <v>155</v>
      </c>
      <c r="D1712" t="s">
        <v>158</v>
      </c>
      <c r="E1712" t="s">
        <v>32</v>
      </c>
      <c r="F1712" t="s">
        <v>160</v>
      </c>
      <c r="G1712">
        <v>-10000</v>
      </c>
      <c r="H1712" t="s">
        <v>153</v>
      </c>
      <c r="I1712" t="s">
        <v>64</v>
      </c>
    </row>
    <row r="1713" spans="1:9">
      <c r="A1713" s="49">
        <v>45866</v>
      </c>
      <c r="B1713" s="50">
        <v>0.6565972222222223</v>
      </c>
      <c r="C1713" t="s">
        <v>150</v>
      </c>
      <c r="D1713" t="s">
        <v>35</v>
      </c>
      <c r="E1713" t="s">
        <v>169</v>
      </c>
      <c r="F1713" t="s">
        <v>739</v>
      </c>
      <c r="G1713">
        <v>-1824</v>
      </c>
      <c r="H1713" t="s">
        <v>153</v>
      </c>
      <c r="I1713" t="s">
        <v>164</v>
      </c>
    </row>
    <row r="1714" spans="1:9">
      <c r="A1714" s="49">
        <v>45866</v>
      </c>
      <c r="B1714" s="50">
        <v>0.6565972222222223</v>
      </c>
      <c r="C1714" t="s">
        <v>155</v>
      </c>
      <c r="D1714" t="s">
        <v>158</v>
      </c>
      <c r="E1714" t="s">
        <v>32</v>
      </c>
      <c r="F1714" t="s">
        <v>159</v>
      </c>
      <c r="G1714">
        <v>10000</v>
      </c>
      <c r="H1714" t="s">
        <v>153</v>
      </c>
      <c r="I1714" t="s">
        <v>157</v>
      </c>
    </row>
    <row r="1715" spans="1:9">
      <c r="A1715" s="49">
        <v>45866</v>
      </c>
      <c r="B1715" s="50">
        <v>0.6533680555555555</v>
      </c>
      <c r="C1715" t="s">
        <v>150</v>
      </c>
      <c r="D1715" t="s">
        <v>39</v>
      </c>
      <c r="E1715" t="s">
        <v>621</v>
      </c>
      <c r="F1715" t="s">
        <v>710</v>
      </c>
      <c r="G1715">
        <v>-21600</v>
      </c>
      <c r="H1715" t="s">
        <v>153</v>
      </c>
      <c r="I1715" t="s">
        <v>164</v>
      </c>
    </row>
    <row r="1716" spans="1:9">
      <c r="A1716" s="49">
        <v>45866</v>
      </c>
      <c r="B1716" s="50">
        <v>0.6533680555555555</v>
      </c>
      <c r="C1716" t="s">
        <v>155</v>
      </c>
      <c r="D1716" t="s">
        <v>158</v>
      </c>
      <c r="E1716" t="s">
        <v>32</v>
      </c>
      <c r="F1716" t="s">
        <v>159</v>
      </c>
      <c r="G1716">
        <v>15983</v>
      </c>
      <c r="H1716" t="s">
        <v>153</v>
      </c>
      <c r="I1716" t="s">
        <v>157</v>
      </c>
    </row>
    <row r="1717" spans="1:9">
      <c r="A1717" s="49">
        <v>45866</v>
      </c>
      <c r="B1717" s="50">
        <v>0.6533680555555555</v>
      </c>
      <c r="C1717" t="s">
        <v>155</v>
      </c>
      <c r="D1717" t="s">
        <v>158</v>
      </c>
      <c r="E1717" t="s">
        <v>32</v>
      </c>
      <c r="F1717" t="s">
        <v>160</v>
      </c>
      <c r="G1717">
        <v>-15983</v>
      </c>
      <c r="H1717" t="s">
        <v>153</v>
      </c>
      <c r="I1717" t="s">
        <v>64</v>
      </c>
    </row>
    <row r="1718" spans="1:9">
      <c r="A1718" s="49">
        <v>45866</v>
      </c>
      <c r="B1718" s="50">
        <v>0.5974421296296296</v>
      </c>
      <c r="C1718" t="s">
        <v>155</v>
      </c>
      <c r="D1718" t="s">
        <v>155</v>
      </c>
      <c r="E1718" t="s">
        <v>32</v>
      </c>
      <c r="F1718" t="s">
        <v>802</v>
      </c>
      <c r="G1718">
        <v>-32770</v>
      </c>
      <c r="H1718" t="s">
        <v>153</v>
      </c>
      <c r="I1718" t="s">
        <v>64</v>
      </c>
    </row>
    <row r="1719" spans="1:9">
      <c r="A1719" s="49">
        <v>45866</v>
      </c>
      <c r="B1719" s="50">
        <v>0.5963078703703704</v>
      </c>
      <c r="C1719" t="s">
        <v>155</v>
      </c>
      <c r="D1719" t="s">
        <v>155</v>
      </c>
      <c r="E1719" t="s">
        <v>32</v>
      </c>
      <c r="F1719" t="s">
        <v>802</v>
      </c>
      <c r="G1719">
        <v>-19200</v>
      </c>
      <c r="H1719" t="s">
        <v>153</v>
      </c>
      <c r="I1719" t="s">
        <v>64</v>
      </c>
    </row>
    <row r="1720" spans="1:9">
      <c r="A1720" s="49">
        <v>45866</v>
      </c>
      <c r="B1720" s="50">
        <v>0.5866898148148149</v>
      </c>
      <c r="C1720" t="s">
        <v>155</v>
      </c>
      <c r="D1720" t="s">
        <v>155</v>
      </c>
      <c r="E1720" t="s">
        <v>32</v>
      </c>
      <c r="F1720" t="s">
        <v>802</v>
      </c>
      <c r="G1720">
        <v>-6000</v>
      </c>
      <c r="H1720" t="s">
        <v>153</v>
      </c>
      <c r="I1720" t="s">
        <v>64</v>
      </c>
    </row>
    <row r="1721" spans="1:9">
      <c r="A1721" s="49">
        <v>45866</v>
      </c>
      <c r="B1721" s="50">
        <v>0.5845023148148148</v>
      </c>
      <c r="C1721" t="s">
        <v>155</v>
      </c>
      <c r="D1721" t="s">
        <v>155</v>
      </c>
      <c r="E1721" t="s">
        <v>32</v>
      </c>
      <c r="F1721" t="s">
        <v>803</v>
      </c>
      <c r="G1721">
        <v>300000</v>
      </c>
      <c r="H1721" t="s">
        <v>153</v>
      </c>
      <c r="I1721" t="s">
        <v>64</v>
      </c>
    </row>
    <row r="1722" spans="1:9">
      <c r="A1722" s="49">
        <v>45866</v>
      </c>
      <c r="B1722" s="50">
        <v>0.5208680555555556</v>
      </c>
      <c r="C1722" t="s">
        <v>150</v>
      </c>
      <c r="D1722" t="s">
        <v>48</v>
      </c>
      <c r="E1722" t="s">
        <v>185</v>
      </c>
      <c r="F1722" t="s">
        <v>362</v>
      </c>
      <c r="G1722">
        <v>-3000</v>
      </c>
      <c r="H1722" t="s">
        <v>153</v>
      </c>
      <c r="I1722" t="s">
        <v>214</v>
      </c>
    </row>
    <row r="1723" spans="1:9">
      <c r="A1723" s="49">
        <v>45866</v>
      </c>
      <c r="B1723" s="50">
        <v>0.4761111111111111</v>
      </c>
      <c r="C1723" t="s">
        <v>155</v>
      </c>
      <c r="D1723" t="s">
        <v>158</v>
      </c>
      <c r="E1723" t="s">
        <v>32</v>
      </c>
      <c r="F1723" t="s">
        <v>804</v>
      </c>
      <c r="G1723">
        <v>1000000</v>
      </c>
      <c r="H1723" t="s">
        <v>153</v>
      </c>
      <c r="I1723" t="s">
        <v>64</v>
      </c>
    </row>
    <row r="1724" spans="1:9">
      <c r="A1724" s="49">
        <v>45865</v>
      </c>
      <c r="B1724" s="50">
        <v>0.8860763888888888</v>
      </c>
      <c r="C1724" t="s">
        <v>155</v>
      </c>
      <c r="D1724" t="s">
        <v>155</v>
      </c>
      <c r="E1724" t="s">
        <v>32</v>
      </c>
      <c r="F1724" t="s">
        <v>805</v>
      </c>
      <c r="G1724">
        <v>-5000</v>
      </c>
      <c r="H1724" t="s">
        <v>153</v>
      </c>
      <c r="I1724" t="s">
        <v>157</v>
      </c>
    </row>
    <row r="1725" spans="1:9">
      <c r="A1725" s="49">
        <v>45865</v>
      </c>
      <c r="B1725" s="50">
        <v>0.8860763888888888</v>
      </c>
      <c r="C1725" t="s">
        <v>155</v>
      </c>
      <c r="D1725" t="s">
        <v>158</v>
      </c>
      <c r="E1725" t="s">
        <v>32</v>
      </c>
      <c r="F1725" t="s">
        <v>159</v>
      </c>
      <c r="G1725">
        <v>10000</v>
      </c>
      <c r="H1725" t="s">
        <v>153</v>
      </c>
      <c r="I1725" t="s">
        <v>157</v>
      </c>
    </row>
    <row r="1726" spans="1:9">
      <c r="A1726" s="49">
        <v>45865</v>
      </c>
      <c r="B1726" s="50">
        <v>0.8860763888888888</v>
      </c>
      <c r="C1726" t="s">
        <v>155</v>
      </c>
      <c r="D1726" t="s">
        <v>158</v>
      </c>
      <c r="E1726" t="s">
        <v>32</v>
      </c>
      <c r="F1726" t="s">
        <v>160</v>
      </c>
      <c r="G1726">
        <v>-10000</v>
      </c>
      <c r="H1726" t="s">
        <v>153</v>
      </c>
      <c r="I1726" t="s">
        <v>64</v>
      </c>
    </row>
    <row r="1727" spans="1:9">
      <c r="A1727" s="49">
        <v>45865</v>
      </c>
      <c r="B1727" s="50">
        <v>0.7812037037037037</v>
      </c>
      <c r="C1727" t="s">
        <v>150</v>
      </c>
      <c r="D1727" t="s">
        <v>35</v>
      </c>
      <c r="E1727" t="s">
        <v>169</v>
      </c>
      <c r="F1727" t="s">
        <v>739</v>
      </c>
      <c r="G1727">
        <v>-1518</v>
      </c>
      <c r="H1727" t="s">
        <v>153</v>
      </c>
      <c r="I1727" t="s">
        <v>164</v>
      </c>
    </row>
    <row r="1728" spans="1:9">
      <c r="A1728" s="49">
        <v>45865</v>
      </c>
      <c r="B1728" s="50">
        <v>0.6404050925925926</v>
      </c>
      <c r="C1728" t="s">
        <v>155</v>
      </c>
      <c r="D1728" t="s">
        <v>158</v>
      </c>
      <c r="E1728" t="s">
        <v>32</v>
      </c>
      <c r="F1728" t="s">
        <v>160</v>
      </c>
      <c r="G1728">
        <v>-10000</v>
      </c>
      <c r="H1728" t="s">
        <v>153</v>
      </c>
      <c r="I1728" t="s">
        <v>64</v>
      </c>
    </row>
    <row r="1729" spans="1:9">
      <c r="A1729" s="49">
        <v>45865</v>
      </c>
      <c r="B1729" s="50">
        <v>0.6404050925925926</v>
      </c>
      <c r="C1729" t="s">
        <v>150</v>
      </c>
      <c r="D1729" t="s">
        <v>36</v>
      </c>
      <c r="E1729" t="s">
        <v>191</v>
      </c>
      <c r="F1729" t="s">
        <v>192</v>
      </c>
      <c r="G1729">
        <v>-15100</v>
      </c>
      <c r="H1729" t="s">
        <v>153</v>
      </c>
      <c r="I1729" t="s">
        <v>157</v>
      </c>
    </row>
    <row r="1730" spans="1:9">
      <c r="A1730" s="49">
        <v>45865</v>
      </c>
      <c r="B1730" s="50">
        <v>0.6403935185185186</v>
      </c>
      <c r="C1730" t="s">
        <v>155</v>
      </c>
      <c r="D1730" t="s">
        <v>158</v>
      </c>
      <c r="E1730" t="s">
        <v>32</v>
      </c>
      <c r="F1730" t="s">
        <v>159</v>
      </c>
      <c r="G1730">
        <v>10000</v>
      </c>
      <c r="H1730" t="s">
        <v>153</v>
      </c>
      <c r="I1730" t="s">
        <v>157</v>
      </c>
    </row>
    <row r="1731" spans="1:9">
      <c r="A1731" s="49">
        <v>45865</v>
      </c>
      <c r="B1731" s="50">
        <v>0.5391782407407407</v>
      </c>
      <c r="C1731" t="s">
        <v>150</v>
      </c>
      <c r="D1731" t="s">
        <v>36</v>
      </c>
      <c r="E1731" t="s">
        <v>191</v>
      </c>
      <c r="F1731" t="s">
        <v>192</v>
      </c>
      <c r="G1731">
        <v>-2766</v>
      </c>
      <c r="H1731" t="s">
        <v>153</v>
      </c>
      <c r="I1731" t="s">
        <v>157</v>
      </c>
    </row>
    <row r="1732" spans="1:9">
      <c r="A1732" s="49">
        <v>45865</v>
      </c>
      <c r="B1732" s="50">
        <v>0.5391666666666667</v>
      </c>
      <c r="C1732" t="s">
        <v>155</v>
      </c>
      <c r="D1732" t="s">
        <v>158</v>
      </c>
      <c r="E1732" t="s">
        <v>32</v>
      </c>
      <c r="F1732" t="s">
        <v>160</v>
      </c>
      <c r="G1732">
        <v>-10000</v>
      </c>
      <c r="H1732" t="s">
        <v>153</v>
      </c>
      <c r="I1732" t="s">
        <v>64</v>
      </c>
    </row>
    <row r="1733" spans="1:9">
      <c r="A1733" s="49">
        <v>45865</v>
      </c>
      <c r="B1733" s="50">
        <v>0.5391666666666667</v>
      </c>
      <c r="C1733" t="s">
        <v>155</v>
      </c>
      <c r="D1733" t="s">
        <v>158</v>
      </c>
      <c r="E1733" t="s">
        <v>32</v>
      </c>
      <c r="F1733" t="s">
        <v>159</v>
      </c>
      <c r="G1733">
        <v>10000</v>
      </c>
      <c r="H1733" t="s">
        <v>153</v>
      </c>
      <c r="I1733" t="s">
        <v>157</v>
      </c>
    </row>
    <row r="1734" spans="1:9">
      <c r="A1734" s="49">
        <v>45865</v>
      </c>
      <c r="B1734" s="50">
        <v>0.3809143518518519</v>
      </c>
      <c r="C1734" t="s">
        <v>155</v>
      </c>
      <c r="D1734" t="s">
        <v>158</v>
      </c>
      <c r="E1734" t="s">
        <v>32</v>
      </c>
      <c r="F1734" t="s">
        <v>160</v>
      </c>
      <c r="G1734">
        <v>-26520</v>
      </c>
      <c r="H1734" t="s">
        <v>153</v>
      </c>
      <c r="I1734" t="s">
        <v>64</v>
      </c>
    </row>
    <row r="1735" spans="1:9">
      <c r="A1735" s="49">
        <v>45865</v>
      </c>
      <c r="B1735" s="50">
        <v>0.3809143518518519</v>
      </c>
      <c r="C1735" t="s">
        <v>150</v>
      </c>
      <c r="D1735" t="s">
        <v>44</v>
      </c>
      <c r="E1735" t="s">
        <v>315</v>
      </c>
      <c r="F1735" t="s">
        <v>316</v>
      </c>
      <c r="G1735">
        <v>-29000</v>
      </c>
      <c r="H1735" t="s">
        <v>153</v>
      </c>
      <c r="I1735" t="s">
        <v>164</v>
      </c>
    </row>
    <row r="1736" spans="1:9">
      <c r="A1736" s="49">
        <v>45865</v>
      </c>
      <c r="B1736" s="50">
        <v>0.3809143518518519</v>
      </c>
      <c r="C1736" t="s">
        <v>155</v>
      </c>
      <c r="D1736" t="s">
        <v>158</v>
      </c>
      <c r="E1736" t="s">
        <v>32</v>
      </c>
      <c r="F1736" t="s">
        <v>159</v>
      </c>
      <c r="G1736">
        <v>26520</v>
      </c>
      <c r="H1736" t="s">
        <v>153</v>
      </c>
      <c r="I1736" t="s">
        <v>157</v>
      </c>
    </row>
    <row r="1737" spans="1:9">
      <c r="A1737" s="49">
        <v>45864</v>
      </c>
      <c r="B1737" s="50">
        <v>0.4482175925925926</v>
      </c>
      <c r="C1737" t="s">
        <v>150</v>
      </c>
      <c r="D1737" t="s">
        <v>35</v>
      </c>
      <c r="E1737" t="s">
        <v>174</v>
      </c>
      <c r="F1737" t="s">
        <v>314</v>
      </c>
      <c r="G1737">
        <v>-20000</v>
      </c>
      <c r="H1737" t="s">
        <v>153</v>
      </c>
      <c r="I1737" t="s">
        <v>64</v>
      </c>
    </row>
    <row r="1738" spans="1:9">
      <c r="A1738" s="49">
        <v>45864</v>
      </c>
      <c r="B1738" s="50">
        <v>0.3813657407407408</v>
      </c>
      <c r="C1738" t="s">
        <v>155</v>
      </c>
      <c r="D1738" t="s">
        <v>155</v>
      </c>
      <c r="E1738" t="s">
        <v>32</v>
      </c>
      <c r="F1738" t="s">
        <v>806</v>
      </c>
      <c r="G1738">
        <v>499000</v>
      </c>
      <c r="H1738" t="s">
        <v>153</v>
      </c>
      <c r="I1738" t="s">
        <v>64</v>
      </c>
    </row>
    <row r="1739" spans="1:9">
      <c r="A1739" s="49">
        <v>45864</v>
      </c>
      <c r="B1739" s="50">
        <v>0.1984722222222222</v>
      </c>
      <c r="C1739" t="s">
        <v>167</v>
      </c>
      <c r="D1739" t="s">
        <v>28</v>
      </c>
      <c r="E1739" t="s">
        <v>32</v>
      </c>
      <c r="F1739" t="s">
        <v>278</v>
      </c>
      <c r="G1739">
        <v>381</v>
      </c>
      <c r="H1739" t="s">
        <v>153</v>
      </c>
      <c r="I1739" t="s">
        <v>64</v>
      </c>
    </row>
    <row r="1740" spans="1:9">
      <c r="A1740" s="49">
        <v>45864</v>
      </c>
      <c r="B1740" s="50">
        <v>0.1100694444444444</v>
      </c>
      <c r="C1740" t="s">
        <v>155</v>
      </c>
      <c r="D1740" t="s">
        <v>241</v>
      </c>
      <c r="E1740" t="s">
        <v>32</v>
      </c>
      <c r="F1740" t="s">
        <v>279</v>
      </c>
      <c r="G1740">
        <v>0</v>
      </c>
      <c r="H1740" t="s">
        <v>153</v>
      </c>
      <c r="I1740" t="s">
        <v>62</v>
      </c>
    </row>
    <row r="1741" spans="1:9">
      <c r="A1741" s="49">
        <v>45863</v>
      </c>
      <c r="B1741" s="50">
        <v>0.9459259259259259</v>
      </c>
      <c r="C1741" t="s">
        <v>150</v>
      </c>
      <c r="D1741" t="s">
        <v>36</v>
      </c>
      <c r="E1741" t="s">
        <v>377</v>
      </c>
      <c r="F1741" t="s">
        <v>378</v>
      </c>
      <c r="G1741">
        <v>-60000</v>
      </c>
      <c r="H1741" t="s">
        <v>153</v>
      </c>
      <c r="I1741" t="s">
        <v>64</v>
      </c>
    </row>
    <row r="1742" spans="1:9">
      <c r="A1742" s="49">
        <v>45863</v>
      </c>
      <c r="B1742" s="50">
        <v>0.9390393518518518</v>
      </c>
      <c r="C1742" t="s">
        <v>150</v>
      </c>
      <c r="D1742" t="s">
        <v>36</v>
      </c>
      <c r="E1742" t="s">
        <v>377</v>
      </c>
      <c r="F1742" t="s">
        <v>378</v>
      </c>
      <c r="G1742">
        <v>-327560</v>
      </c>
      <c r="H1742" t="s">
        <v>153</v>
      </c>
      <c r="I1742" t="s">
        <v>64</v>
      </c>
    </row>
    <row r="1743" spans="1:9">
      <c r="A1743" s="49">
        <v>45863</v>
      </c>
      <c r="B1743" s="50">
        <v>0.9344212962962963</v>
      </c>
      <c r="C1743" t="s">
        <v>155</v>
      </c>
      <c r="D1743" t="s">
        <v>158</v>
      </c>
      <c r="E1743" t="s">
        <v>32</v>
      </c>
      <c r="F1743" t="s">
        <v>807</v>
      </c>
      <c r="G1743">
        <v>-192000</v>
      </c>
      <c r="H1743" t="s">
        <v>153</v>
      </c>
      <c r="I1743" t="s">
        <v>64</v>
      </c>
    </row>
    <row r="1744" spans="1:9">
      <c r="A1744" s="49">
        <v>45863</v>
      </c>
      <c r="B1744" s="50">
        <v>0.9033912037037037</v>
      </c>
      <c r="C1744" t="s">
        <v>150</v>
      </c>
      <c r="D1744" t="s">
        <v>36</v>
      </c>
      <c r="E1744" t="s">
        <v>377</v>
      </c>
      <c r="F1744" t="s">
        <v>378</v>
      </c>
      <c r="G1744">
        <v>-334120</v>
      </c>
      <c r="H1744" t="s">
        <v>153</v>
      </c>
      <c r="I1744" t="s">
        <v>64</v>
      </c>
    </row>
    <row r="1745" spans="1:9">
      <c r="A1745" s="49">
        <v>45863</v>
      </c>
      <c r="B1745" s="50">
        <v>0.5810069444444445</v>
      </c>
      <c r="C1745" t="s">
        <v>150</v>
      </c>
      <c r="D1745" t="s">
        <v>35</v>
      </c>
      <c r="E1745" t="s">
        <v>169</v>
      </c>
      <c r="F1745" t="s">
        <v>170</v>
      </c>
      <c r="G1745">
        <v>-920</v>
      </c>
      <c r="H1745" t="s">
        <v>153</v>
      </c>
      <c r="I1745" t="s">
        <v>171</v>
      </c>
    </row>
    <row r="1746" spans="1:9">
      <c r="A1746" s="49">
        <v>45863</v>
      </c>
      <c r="B1746" s="50">
        <v>0.5810069444444445</v>
      </c>
      <c r="C1746" t="s">
        <v>167</v>
      </c>
      <c r="D1746" t="s">
        <v>31</v>
      </c>
      <c r="E1746" t="s">
        <v>32</v>
      </c>
      <c r="F1746" t="s">
        <v>168</v>
      </c>
      <c r="G1746">
        <v>3000</v>
      </c>
      <c r="H1746" t="s">
        <v>153</v>
      </c>
      <c r="I1746" t="s">
        <v>64</v>
      </c>
    </row>
    <row r="1747" spans="1:9">
      <c r="A1747" s="49">
        <v>45863</v>
      </c>
      <c r="B1747" s="50">
        <v>0.5787268518518518</v>
      </c>
      <c r="C1747" t="s">
        <v>150</v>
      </c>
      <c r="D1747" t="s">
        <v>35</v>
      </c>
      <c r="E1747" t="s">
        <v>169</v>
      </c>
      <c r="F1747" t="s">
        <v>170</v>
      </c>
      <c r="G1747">
        <v>3000</v>
      </c>
      <c r="H1747" t="s">
        <v>153</v>
      </c>
      <c r="I1747" t="s">
        <v>171</v>
      </c>
    </row>
    <row r="1748" spans="1:9">
      <c r="A1748" s="49">
        <v>45863</v>
      </c>
      <c r="B1748" s="50">
        <v>0.5787268518518518</v>
      </c>
      <c r="C1748" t="s">
        <v>150</v>
      </c>
      <c r="D1748" t="s">
        <v>40</v>
      </c>
      <c r="E1748" t="s">
        <v>172</v>
      </c>
      <c r="F1748" t="s">
        <v>173</v>
      </c>
      <c r="G1748">
        <v>-3000</v>
      </c>
      <c r="H1748" t="s">
        <v>153</v>
      </c>
      <c r="I1748" t="s">
        <v>64</v>
      </c>
    </row>
    <row r="1749" spans="1:9">
      <c r="A1749" s="49">
        <v>45863</v>
      </c>
      <c r="B1749" s="50">
        <v>0.5774189814814815</v>
      </c>
      <c r="C1749" t="s">
        <v>150</v>
      </c>
      <c r="D1749" t="s">
        <v>42</v>
      </c>
      <c r="E1749" t="s">
        <v>177</v>
      </c>
      <c r="F1749" t="s">
        <v>808</v>
      </c>
      <c r="G1749">
        <v>-600</v>
      </c>
      <c r="H1749" t="s">
        <v>153</v>
      </c>
      <c r="I1749" t="s">
        <v>214</v>
      </c>
    </row>
    <row r="1750" spans="1:9">
      <c r="A1750" s="49">
        <v>45863</v>
      </c>
      <c r="B1750" s="50">
        <v>0.5601388888888889</v>
      </c>
      <c r="C1750" t="s">
        <v>150</v>
      </c>
      <c r="D1750" t="s">
        <v>35</v>
      </c>
      <c r="E1750" t="s">
        <v>169</v>
      </c>
      <c r="F1750" t="s">
        <v>170</v>
      </c>
      <c r="G1750">
        <v>-1380</v>
      </c>
      <c r="H1750" t="s">
        <v>153</v>
      </c>
      <c r="I1750" t="s">
        <v>171</v>
      </c>
    </row>
    <row r="1751" spans="1:9">
      <c r="A1751" s="49">
        <v>45863</v>
      </c>
      <c r="B1751" s="50">
        <v>0.5601388888888889</v>
      </c>
      <c r="C1751" t="s">
        <v>167</v>
      </c>
      <c r="D1751" t="s">
        <v>31</v>
      </c>
      <c r="E1751" t="s">
        <v>32</v>
      </c>
      <c r="F1751" t="s">
        <v>168</v>
      </c>
      <c r="G1751">
        <v>3000</v>
      </c>
      <c r="H1751" t="s">
        <v>153</v>
      </c>
      <c r="I1751" t="s">
        <v>64</v>
      </c>
    </row>
    <row r="1752" spans="1:9">
      <c r="A1752" s="49">
        <v>45863</v>
      </c>
      <c r="B1752" s="50">
        <v>0.5561689814814815</v>
      </c>
      <c r="C1752" t="s">
        <v>150</v>
      </c>
      <c r="D1752" t="s">
        <v>35</v>
      </c>
      <c r="E1752" t="s">
        <v>169</v>
      </c>
      <c r="F1752" t="s">
        <v>170</v>
      </c>
      <c r="G1752">
        <v>3000</v>
      </c>
      <c r="H1752" t="s">
        <v>153</v>
      </c>
      <c r="I1752" t="s">
        <v>171</v>
      </c>
    </row>
    <row r="1753" spans="1:9">
      <c r="A1753" s="49">
        <v>45863</v>
      </c>
      <c r="B1753" s="50">
        <v>0.5561574074074074</v>
      </c>
      <c r="C1753" t="s">
        <v>150</v>
      </c>
      <c r="D1753" t="s">
        <v>40</v>
      </c>
      <c r="E1753" t="s">
        <v>172</v>
      </c>
      <c r="F1753" t="s">
        <v>173</v>
      </c>
      <c r="G1753">
        <v>-3000</v>
      </c>
      <c r="H1753" t="s">
        <v>153</v>
      </c>
      <c r="I1753" t="s">
        <v>64</v>
      </c>
    </row>
    <row r="1754" spans="1:9">
      <c r="A1754" s="49">
        <v>45863</v>
      </c>
      <c r="B1754" s="50">
        <v>0.5192592592592593</v>
      </c>
      <c r="C1754" t="s">
        <v>150</v>
      </c>
      <c r="D1754" t="s">
        <v>40</v>
      </c>
      <c r="E1754" t="s">
        <v>172</v>
      </c>
      <c r="F1754" t="s">
        <v>809</v>
      </c>
      <c r="G1754">
        <v>-1800</v>
      </c>
      <c r="H1754" t="s">
        <v>153</v>
      </c>
      <c r="I1754" t="s">
        <v>214</v>
      </c>
    </row>
    <row r="1755" spans="1:9">
      <c r="A1755" s="49">
        <v>45863</v>
      </c>
      <c r="B1755" s="50">
        <v>0.5185532407407407</v>
      </c>
      <c r="C1755" t="s">
        <v>150</v>
      </c>
      <c r="D1755" t="s">
        <v>40</v>
      </c>
      <c r="E1755" t="s">
        <v>172</v>
      </c>
      <c r="F1755" t="s">
        <v>809</v>
      </c>
      <c r="G1755">
        <v>-1100</v>
      </c>
      <c r="H1755" t="s">
        <v>153</v>
      </c>
      <c r="I1755" t="s">
        <v>214</v>
      </c>
    </row>
    <row r="1756" spans="1:9">
      <c r="A1756" s="49">
        <v>45863</v>
      </c>
      <c r="B1756" s="50">
        <v>0.5132523148148148</v>
      </c>
      <c r="C1756" t="s">
        <v>155</v>
      </c>
      <c r="D1756" t="s">
        <v>155</v>
      </c>
      <c r="E1756" t="s">
        <v>32</v>
      </c>
      <c r="F1756" t="s">
        <v>810</v>
      </c>
      <c r="G1756">
        <v>-13000</v>
      </c>
      <c r="H1756" t="s">
        <v>153</v>
      </c>
      <c r="I1756" t="s">
        <v>64</v>
      </c>
    </row>
    <row r="1757" spans="1:9">
      <c r="A1757" s="49">
        <v>45862</v>
      </c>
      <c r="B1757" s="50">
        <v>0.8567939814814814</v>
      </c>
      <c r="C1757" t="s">
        <v>155</v>
      </c>
      <c r="D1757" t="s">
        <v>155</v>
      </c>
      <c r="E1757" t="s">
        <v>32</v>
      </c>
      <c r="F1757" t="s">
        <v>811</v>
      </c>
      <c r="G1757">
        <v>499000</v>
      </c>
      <c r="H1757" t="s">
        <v>153</v>
      </c>
      <c r="I1757" t="s">
        <v>64</v>
      </c>
    </row>
    <row r="1758" spans="1:9">
      <c r="A1758" s="49">
        <v>45862</v>
      </c>
      <c r="B1758" s="50">
        <v>0.770636574074074</v>
      </c>
      <c r="C1758" t="s">
        <v>155</v>
      </c>
      <c r="D1758" t="s">
        <v>155</v>
      </c>
      <c r="E1758" t="s">
        <v>32</v>
      </c>
      <c r="F1758" t="s">
        <v>812</v>
      </c>
      <c r="G1758">
        <v>499000</v>
      </c>
      <c r="H1758" t="s">
        <v>153</v>
      </c>
      <c r="I1758" t="s">
        <v>64</v>
      </c>
    </row>
    <row r="1759" spans="1:9">
      <c r="A1759" s="49">
        <v>45861</v>
      </c>
      <c r="B1759" s="50">
        <v>0.8914814814814814</v>
      </c>
      <c r="C1759" t="s">
        <v>150</v>
      </c>
      <c r="D1759" t="s">
        <v>37</v>
      </c>
      <c r="E1759" t="s">
        <v>401</v>
      </c>
      <c r="F1759" t="s">
        <v>402</v>
      </c>
      <c r="G1759">
        <v>-3500</v>
      </c>
      <c r="H1759" t="s">
        <v>153</v>
      </c>
      <c r="I1759" t="s">
        <v>214</v>
      </c>
    </row>
    <row r="1760" spans="1:9">
      <c r="A1760" s="49">
        <v>45861</v>
      </c>
      <c r="B1760" s="50">
        <v>0.8155555555555556</v>
      </c>
      <c r="C1760" t="s">
        <v>150</v>
      </c>
      <c r="D1760" t="s">
        <v>36</v>
      </c>
      <c r="E1760" t="s">
        <v>191</v>
      </c>
      <c r="F1760" t="s">
        <v>192</v>
      </c>
      <c r="G1760">
        <v>-7520</v>
      </c>
      <c r="H1760" t="s">
        <v>153</v>
      </c>
      <c r="I1760" t="s">
        <v>157</v>
      </c>
    </row>
    <row r="1761" spans="1:9">
      <c r="A1761" s="49">
        <v>45861</v>
      </c>
      <c r="B1761" s="50">
        <v>0.8155439814814814</v>
      </c>
      <c r="C1761" t="s">
        <v>155</v>
      </c>
      <c r="D1761" t="s">
        <v>158</v>
      </c>
      <c r="E1761" t="s">
        <v>32</v>
      </c>
      <c r="F1761" t="s">
        <v>159</v>
      </c>
      <c r="G1761">
        <v>10000</v>
      </c>
      <c r="H1761" t="s">
        <v>153</v>
      </c>
      <c r="I1761" t="s">
        <v>157</v>
      </c>
    </row>
    <row r="1762" spans="1:9">
      <c r="A1762" s="49">
        <v>45861</v>
      </c>
      <c r="B1762" s="50">
        <v>0.8155439814814814</v>
      </c>
      <c r="C1762" t="s">
        <v>155</v>
      </c>
      <c r="D1762" t="s">
        <v>158</v>
      </c>
      <c r="E1762" t="s">
        <v>32</v>
      </c>
      <c r="F1762" t="s">
        <v>160</v>
      </c>
      <c r="G1762">
        <v>-10000</v>
      </c>
      <c r="H1762" t="s">
        <v>153</v>
      </c>
      <c r="I1762" t="s">
        <v>64</v>
      </c>
    </row>
    <row r="1763" spans="1:9">
      <c r="A1763" s="49">
        <v>45861</v>
      </c>
      <c r="B1763" s="50">
        <v>0.7399652777777778</v>
      </c>
      <c r="C1763" t="s">
        <v>150</v>
      </c>
      <c r="D1763" t="s">
        <v>41</v>
      </c>
      <c r="E1763" t="s">
        <v>746</v>
      </c>
      <c r="F1763" t="s">
        <v>813</v>
      </c>
      <c r="G1763">
        <v>-52000</v>
      </c>
      <c r="H1763" t="s">
        <v>153</v>
      </c>
      <c r="I1763" t="s">
        <v>214</v>
      </c>
    </row>
    <row r="1764" spans="1:9">
      <c r="A1764" s="49">
        <v>45861</v>
      </c>
      <c r="B1764" s="50">
        <v>0.6784953703703703</v>
      </c>
      <c r="C1764" t="s">
        <v>150</v>
      </c>
      <c r="D1764" t="s">
        <v>35</v>
      </c>
      <c r="E1764" t="s">
        <v>174</v>
      </c>
      <c r="F1764" t="s">
        <v>314</v>
      </c>
      <c r="G1764">
        <v>-10000</v>
      </c>
      <c r="H1764" t="s">
        <v>153</v>
      </c>
      <c r="I1764" t="s">
        <v>64</v>
      </c>
    </row>
    <row r="1765" spans="1:9">
      <c r="A1765" s="49">
        <v>45861</v>
      </c>
      <c r="B1765" s="50">
        <v>0.1837847222222222</v>
      </c>
      <c r="C1765" t="s">
        <v>150</v>
      </c>
      <c r="D1765" t="s">
        <v>36</v>
      </c>
      <c r="E1765" t="s">
        <v>191</v>
      </c>
      <c r="F1765" t="s">
        <v>192</v>
      </c>
      <c r="G1765">
        <v>-45180</v>
      </c>
      <c r="H1765" t="s">
        <v>153</v>
      </c>
      <c r="I1765" t="s">
        <v>157</v>
      </c>
    </row>
    <row r="1766" spans="1:9">
      <c r="A1766" s="49">
        <v>45861</v>
      </c>
      <c r="B1766" s="50">
        <v>0.1837847222222222</v>
      </c>
      <c r="C1766" t="s">
        <v>155</v>
      </c>
      <c r="D1766" t="s">
        <v>158</v>
      </c>
      <c r="E1766" t="s">
        <v>32</v>
      </c>
      <c r="F1766" t="s">
        <v>159</v>
      </c>
      <c r="G1766">
        <v>42616</v>
      </c>
      <c r="H1766" t="s">
        <v>153</v>
      </c>
      <c r="I1766" t="s">
        <v>157</v>
      </c>
    </row>
    <row r="1767" spans="1:9">
      <c r="A1767" s="49">
        <v>45861</v>
      </c>
      <c r="B1767" s="50">
        <v>0.1837847222222222</v>
      </c>
      <c r="C1767" t="s">
        <v>155</v>
      </c>
      <c r="D1767" t="s">
        <v>158</v>
      </c>
      <c r="E1767" t="s">
        <v>32</v>
      </c>
      <c r="F1767" t="s">
        <v>160</v>
      </c>
      <c r="G1767">
        <v>-42616</v>
      </c>
      <c r="H1767" t="s">
        <v>153</v>
      </c>
      <c r="I1767" t="s">
        <v>64</v>
      </c>
    </row>
    <row r="1768" spans="1:9">
      <c r="A1768" s="49">
        <v>45861</v>
      </c>
      <c r="B1768" s="50">
        <v>0.1709606481481482</v>
      </c>
      <c r="C1768" t="s">
        <v>150</v>
      </c>
      <c r="D1768" t="s">
        <v>36</v>
      </c>
      <c r="E1768" t="s">
        <v>191</v>
      </c>
      <c r="F1768" t="s">
        <v>192</v>
      </c>
      <c r="G1768">
        <v>-15000</v>
      </c>
      <c r="H1768" t="s">
        <v>153</v>
      </c>
      <c r="I1768" t="s">
        <v>157</v>
      </c>
    </row>
    <row r="1769" spans="1:9">
      <c r="A1769" s="49">
        <v>45861</v>
      </c>
      <c r="B1769" s="50">
        <v>0.1709606481481482</v>
      </c>
      <c r="C1769" t="s">
        <v>155</v>
      </c>
      <c r="D1769" t="s">
        <v>158</v>
      </c>
      <c r="E1769" t="s">
        <v>32</v>
      </c>
      <c r="F1769" t="s">
        <v>160</v>
      </c>
      <c r="G1769">
        <v>-10000</v>
      </c>
      <c r="H1769" t="s">
        <v>153</v>
      </c>
      <c r="I1769" t="s">
        <v>64</v>
      </c>
    </row>
    <row r="1770" spans="1:9">
      <c r="A1770" s="49">
        <v>45861</v>
      </c>
      <c r="B1770" s="50">
        <v>0.1709490740740741</v>
      </c>
      <c r="C1770" t="s">
        <v>155</v>
      </c>
      <c r="D1770" t="s">
        <v>158</v>
      </c>
      <c r="E1770" t="s">
        <v>32</v>
      </c>
      <c r="F1770" t="s">
        <v>159</v>
      </c>
      <c r="G1770">
        <v>10000</v>
      </c>
      <c r="H1770" t="s">
        <v>153</v>
      </c>
      <c r="I1770" t="s">
        <v>157</v>
      </c>
    </row>
    <row r="1771" spans="1:9">
      <c r="A1771" s="49">
        <v>45860</v>
      </c>
      <c r="B1771" s="50">
        <v>0.9635648148148148</v>
      </c>
      <c r="C1771" t="s">
        <v>155</v>
      </c>
      <c r="D1771" t="s">
        <v>155</v>
      </c>
      <c r="E1771" t="s">
        <v>32</v>
      </c>
      <c r="F1771" t="s">
        <v>814</v>
      </c>
      <c r="G1771">
        <v>499000</v>
      </c>
      <c r="H1771" t="s">
        <v>153</v>
      </c>
      <c r="I1771" t="s">
        <v>64</v>
      </c>
    </row>
    <row r="1772" spans="1:9">
      <c r="A1772" s="49">
        <v>45860</v>
      </c>
      <c r="B1772" s="50">
        <v>0.8259722222222222</v>
      </c>
      <c r="C1772" t="s">
        <v>150</v>
      </c>
      <c r="D1772" t="s">
        <v>35</v>
      </c>
      <c r="E1772" t="s">
        <v>169</v>
      </c>
      <c r="F1772" t="s">
        <v>739</v>
      </c>
      <c r="G1772">
        <v>-2436</v>
      </c>
      <c r="H1772" t="s">
        <v>153</v>
      </c>
      <c r="I1772" t="s">
        <v>164</v>
      </c>
    </row>
    <row r="1773" spans="1:9">
      <c r="A1773" s="49">
        <v>45860</v>
      </c>
      <c r="B1773" s="50">
        <v>0.8259722222222222</v>
      </c>
      <c r="C1773" t="s">
        <v>155</v>
      </c>
      <c r="D1773" t="s">
        <v>158</v>
      </c>
      <c r="E1773" t="s">
        <v>32</v>
      </c>
      <c r="F1773" t="s">
        <v>159</v>
      </c>
      <c r="G1773">
        <v>10000</v>
      </c>
      <c r="H1773" t="s">
        <v>153</v>
      </c>
      <c r="I1773" t="s">
        <v>157</v>
      </c>
    </row>
    <row r="1774" spans="1:9">
      <c r="A1774" s="49">
        <v>45860</v>
      </c>
      <c r="B1774" s="50">
        <v>0.8259722222222222</v>
      </c>
      <c r="C1774" t="s">
        <v>155</v>
      </c>
      <c r="D1774" t="s">
        <v>158</v>
      </c>
      <c r="E1774" t="s">
        <v>32</v>
      </c>
      <c r="F1774" t="s">
        <v>160</v>
      </c>
      <c r="G1774">
        <v>-10000</v>
      </c>
      <c r="H1774" t="s">
        <v>153</v>
      </c>
      <c r="I1774" t="s">
        <v>64</v>
      </c>
    </row>
    <row r="1775" spans="1:9">
      <c r="A1775" s="49">
        <v>45860</v>
      </c>
      <c r="B1775" s="50">
        <v>0.8052662037037037</v>
      </c>
      <c r="C1775" t="s">
        <v>150</v>
      </c>
      <c r="D1775" t="s">
        <v>34</v>
      </c>
      <c r="E1775" t="s">
        <v>322</v>
      </c>
      <c r="F1775" t="s">
        <v>323</v>
      </c>
      <c r="G1775">
        <v>-58597</v>
      </c>
      <c r="H1775" t="s">
        <v>153</v>
      </c>
      <c r="I1775" t="s">
        <v>214</v>
      </c>
    </row>
    <row r="1776" spans="1:9">
      <c r="A1776" s="49">
        <v>45860</v>
      </c>
      <c r="B1776" s="50">
        <v>0.5352662037037037</v>
      </c>
      <c r="C1776" t="s">
        <v>155</v>
      </c>
      <c r="D1776" t="s">
        <v>158</v>
      </c>
      <c r="E1776" t="s">
        <v>32</v>
      </c>
      <c r="F1776" t="s">
        <v>7</v>
      </c>
      <c r="G1776">
        <v>16290</v>
      </c>
      <c r="H1776" t="s">
        <v>153</v>
      </c>
      <c r="I1776" t="s">
        <v>64</v>
      </c>
    </row>
    <row r="1777" spans="1:9">
      <c r="A1777" s="49">
        <v>45860</v>
      </c>
      <c r="B1777" s="50">
        <v>0.5344791666666666</v>
      </c>
      <c r="C1777" t="s">
        <v>150</v>
      </c>
      <c r="D1777" t="s">
        <v>44</v>
      </c>
      <c r="E1777" t="s">
        <v>162</v>
      </c>
      <c r="F1777" t="s">
        <v>551</v>
      </c>
      <c r="G1777">
        <v>-16290</v>
      </c>
      <c r="H1777" t="s">
        <v>153</v>
      </c>
      <c r="I1777" t="s">
        <v>164</v>
      </c>
    </row>
    <row r="1778" spans="1:9">
      <c r="A1778" s="49">
        <v>45860</v>
      </c>
      <c r="B1778" s="50">
        <v>0.5344791666666666</v>
      </c>
      <c r="C1778" t="s">
        <v>150</v>
      </c>
      <c r="D1778" t="s">
        <v>44</v>
      </c>
      <c r="E1778" t="s">
        <v>260</v>
      </c>
      <c r="F1778" t="s">
        <v>551</v>
      </c>
      <c r="G1778">
        <v>-16290</v>
      </c>
      <c r="H1778" t="s">
        <v>153</v>
      </c>
      <c r="I1778" t="s">
        <v>157</v>
      </c>
    </row>
    <row r="1779" spans="1:9">
      <c r="A1779" s="49">
        <v>45860</v>
      </c>
      <c r="B1779" s="50">
        <v>0.04584490740740741</v>
      </c>
      <c r="C1779" t="s">
        <v>155</v>
      </c>
      <c r="D1779" t="s">
        <v>155</v>
      </c>
      <c r="E1779" t="s">
        <v>32</v>
      </c>
      <c r="F1779" t="s">
        <v>156</v>
      </c>
      <c r="G1779">
        <v>-1800000</v>
      </c>
      <c r="H1779" t="s">
        <v>153</v>
      </c>
      <c r="I1779" t="s">
        <v>157</v>
      </c>
    </row>
    <row r="1780" spans="1:9">
      <c r="A1780" s="49">
        <v>45860</v>
      </c>
      <c r="B1780" s="50">
        <v>0.04583333333333333</v>
      </c>
      <c r="C1780" t="s">
        <v>155</v>
      </c>
      <c r="D1780" t="s">
        <v>158</v>
      </c>
      <c r="E1780" t="s">
        <v>32</v>
      </c>
      <c r="F1780" t="s">
        <v>159</v>
      </c>
      <c r="G1780">
        <v>1793315</v>
      </c>
      <c r="H1780" t="s">
        <v>153</v>
      </c>
      <c r="I1780" t="s">
        <v>157</v>
      </c>
    </row>
    <row r="1781" spans="1:9">
      <c r="A1781" s="49">
        <v>45860</v>
      </c>
      <c r="B1781" s="50">
        <v>0.04583333333333333</v>
      </c>
      <c r="C1781" t="s">
        <v>155</v>
      </c>
      <c r="D1781" t="s">
        <v>158</v>
      </c>
      <c r="E1781" t="s">
        <v>32</v>
      </c>
      <c r="F1781" t="s">
        <v>160</v>
      </c>
      <c r="G1781">
        <v>-1793315</v>
      </c>
      <c r="H1781" t="s">
        <v>153</v>
      </c>
      <c r="I1781" t="s">
        <v>64</v>
      </c>
    </row>
    <row r="1782" spans="1:9">
      <c r="A1782" s="49">
        <v>45859</v>
      </c>
      <c r="B1782" s="50">
        <v>0.9315625</v>
      </c>
      <c r="C1782" t="s">
        <v>155</v>
      </c>
      <c r="D1782" t="s">
        <v>155</v>
      </c>
      <c r="E1782" t="s">
        <v>32</v>
      </c>
      <c r="F1782" t="s">
        <v>684</v>
      </c>
      <c r="G1782">
        <v>300000</v>
      </c>
      <c r="H1782" t="s">
        <v>153</v>
      </c>
      <c r="I1782" t="s">
        <v>64</v>
      </c>
    </row>
    <row r="1783" spans="1:9">
      <c r="A1783" s="49">
        <v>45859</v>
      </c>
      <c r="B1783" s="50">
        <v>0.8129282407407408</v>
      </c>
      <c r="C1783" t="s">
        <v>150</v>
      </c>
      <c r="D1783" t="s">
        <v>35</v>
      </c>
      <c r="E1783" t="s">
        <v>169</v>
      </c>
      <c r="F1783" t="s">
        <v>170</v>
      </c>
      <c r="G1783">
        <v>-920</v>
      </c>
      <c r="H1783" t="s">
        <v>153</v>
      </c>
      <c r="I1783" t="s">
        <v>171</v>
      </c>
    </row>
    <row r="1784" spans="1:9">
      <c r="A1784" s="49">
        <v>45859</v>
      </c>
      <c r="B1784" s="50">
        <v>0.8129166666666666</v>
      </c>
      <c r="C1784" t="s">
        <v>167</v>
      </c>
      <c r="D1784" t="s">
        <v>31</v>
      </c>
      <c r="E1784" t="s">
        <v>32</v>
      </c>
      <c r="F1784" t="s">
        <v>168</v>
      </c>
      <c r="G1784">
        <v>3000</v>
      </c>
      <c r="H1784" t="s">
        <v>153</v>
      </c>
      <c r="I1784" t="s">
        <v>64</v>
      </c>
    </row>
    <row r="1785" spans="1:9">
      <c r="A1785" s="49">
        <v>45859</v>
      </c>
      <c r="B1785" s="50">
        <v>0.8106134259259259</v>
      </c>
      <c r="C1785" t="s">
        <v>150</v>
      </c>
      <c r="D1785" t="s">
        <v>35</v>
      </c>
      <c r="E1785" t="s">
        <v>169</v>
      </c>
      <c r="F1785" t="s">
        <v>170</v>
      </c>
      <c r="G1785">
        <v>3000</v>
      </c>
      <c r="H1785" t="s">
        <v>153</v>
      </c>
      <c r="I1785" t="s">
        <v>171</v>
      </c>
    </row>
    <row r="1786" spans="1:9">
      <c r="A1786" s="49">
        <v>45859</v>
      </c>
      <c r="B1786" s="50">
        <v>0.8106134259259259</v>
      </c>
      <c r="C1786" t="s">
        <v>150</v>
      </c>
      <c r="D1786" t="s">
        <v>40</v>
      </c>
      <c r="E1786" t="s">
        <v>172</v>
      </c>
      <c r="F1786" t="s">
        <v>173</v>
      </c>
      <c r="G1786">
        <v>-3000</v>
      </c>
      <c r="H1786" t="s">
        <v>153</v>
      </c>
      <c r="I1786" t="s">
        <v>64</v>
      </c>
    </row>
    <row r="1787" spans="1:9">
      <c r="A1787" s="49">
        <v>45859</v>
      </c>
      <c r="B1787" s="50">
        <v>0.7768402777777778</v>
      </c>
      <c r="C1787" t="s">
        <v>150</v>
      </c>
      <c r="D1787" t="s">
        <v>35</v>
      </c>
      <c r="E1787" t="s">
        <v>169</v>
      </c>
      <c r="F1787" t="s">
        <v>563</v>
      </c>
      <c r="G1787">
        <v>-2850</v>
      </c>
      <c r="H1787" t="s">
        <v>153</v>
      </c>
      <c r="I1787" t="s">
        <v>164</v>
      </c>
    </row>
    <row r="1788" spans="1:9">
      <c r="A1788" s="49">
        <v>45859</v>
      </c>
      <c r="B1788" s="50">
        <v>0.7627430555555555</v>
      </c>
      <c r="C1788" t="s">
        <v>150</v>
      </c>
      <c r="D1788" t="s">
        <v>43</v>
      </c>
      <c r="E1788" t="s">
        <v>644</v>
      </c>
      <c r="F1788" t="s">
        <v>815</v>
      </c>
      <c r="G1788">
        <v>-36990</v>
      </c>
      <c r="H1788" t="s">
        <v>153</v>
      </c>
      <c r="I1788" t="s">
        <v>64</v>
      </c>
    </row>
    <row r="1789" spans="1:9">
      <c r="A1789" s="49">
        <v>45859</v>
      </c>
      <c r="B1789" s="50">
        <v>0.5677777777777778</v>
      </c>
      <c r="C1789" t="s">
        <v>150</v>
      </c>
      <c r="D1789" t="s">
        <v>36</v>
      </c>
      <c r="E1789" t="s">
        <v>377</v>
      </c>
      <c r="F1789" t="s">
        <v>816</v>
      </c>
      <c r="G1789">
        <v>-556920</v>
      </c>
      <c r="H1789" t="s">
        <v>153</v>
      </c>
      <c r="I1789" t="s">
        <v>64</v>
      </c>
    </row>
    <row r="1790" spans="1:9">
      <c r="A1790" s="49">
        <v>45859</v>
      </c>
      <c r="B1790" s="50">
        <v>0.4708680555555556</v>
      </c>
      <c r="C1790" t="s">
        <v>150</v>
      </c>
      <c r="D1790" t="s">
        <v>48</v>
      </c>
      <c r="E1790" t="s">
        <v>629</v>
      </c>
      <c r="F1790" t="s">
        <v>817</v>
      </c>
      <c r="G1790">
        <v>-4700</v>
      </c>
      <c r="H1790" t="s">
        <v>153</v>
      </c>
      <c r="I1790" t="s">
        <v>214</v>
      </c>
    </row>
    <row r="1791" spans="1:9">
      <c r="A1791" s="49">
        <v>45859</v>
      </c>
      <c r="B1791" s="50">
        <v>0.0391550925925926</v>
      </c>
      <c r="C1791" t="s">
        <v>150</v>
      </c>
      <c r="D1791" t="s">
        <v>40</v>
      </c>
      <c r="E1791" t="s">
        <v>172</v>
      </c>
      <c r="F1791" t="s">
        <v>714</v>
      </c>
      <c r="G1791">
        <v>-2300</v>
      </c>
      <c r="H1791" t="s">
        <v>153</v>
      </c>
      <c r="I1791" t="s">
        <v>164</v>
      </c>
    </row>
    <row r="1792" spans="1:9">
      <c r="A1792" s="49">
        <v>45859</v>
      </c>
      <c r="B1792" s="50">
        <v>0.0391550925925926</v>
      </c>
      <c r="C1792" t="s">
        <v>155</v>
      </c>
      <c r="D1792" t="s">
        <v>158</v>
      </c>
      <c r="E1792" t="s">
        <v>32</v>
      </c>
      <c r="F1792" t="s">
        <v>159</v>
      </c>
      <c r="G1792">
        <v>10000</v>
      </c>
      <c r="H1792" t="s">
        <v>153</v>
      </c>
      <c r="I1792" t="s">
        <v>157</v>
      </c>
    </row>
    <row r="1793" spans="1:9">
      <c r="A1793" s="49">
        <v>45859</v>
      </c>
      <c r="B1793" s="50">
        <v>0.0391550925925926</v>
      </c>
      <c r="C1793" t="s">
        <v>155</v>
      </c>
      <c r="D1793" t="s">
        <v>158</v>
      </c>
      <c r="E1793" t="s">
        <v>32</v>
      </c>
      <c r="F1793" t="s">
        <v>160</v>
      </c>
      <c r="G1793">
        <v>-10000</v>
      </c>
      <c r="H1793" t="s">
        <v>153</v>
      </c>
      <c r="I1793" t="s">
        <v>64</v>
      </c>
    </row>
    <row r="1794" spans="1:9">
      <c r="A1794" s="49">
        <v>45858</v>
      </c>
      <c r="B1794" s="50">
        <v>0.7456712962962962</v>
      </c>
      <c r="C1794" t="s">
        <v>150</v>
      </c>
      <c r="D1794" t="s">
        <v>42</v>
      </c>
      <c r="E1794" t="s">
        <v>151</v>
      </c>
      <c r="F1794" t="s">
        <v>152</v>
      </c>
      <c r="G1794">
        <v>-18300</v>
      </c>
      <c r="H1794" t="s">
        <v>153</v>
      </c>
      <c r="I1794" t="s">
        <v>64</v>
      </c>
    </row>
    <row r="1795" spans="1:9">
      <c r="A1795" s="49">
        <v>45858</v>
      </c>
      <c r="B1795" s="50">
        <v>0.3577430555555556</v>
      </c>
      <c r="C1795" t="s">
        <v>150</v>
      </c>
      <c r="D1795" t="s">
        <v>35</v>
      </c>
      <c r="E1795" t="s">
        <v>174</v>
      </c>
      <c r="F1795" t="s">
        <v>314</v>
      </c>
      <c r="G1795">
        <v>-10000</v>
      </c>
      <c r="H1795" t="s">
        <v>153</v>
      </c>
      <c r="I1795" t="s">
        <v>64</v>
      </c>
    </row>
    <row r="1796" spans="1:9">
      <c r="A1796" s="49">
        <v>45858</v>
      </c>
      <c r="B1796" s="50">
        <v>0.2659143518518519</v>
      </c>
      <c r="C1796" t="s">
        <v>150</v>
      </c>
      <c r="D1796" t="s">
        <v>36</v>
      </c>
      <c r="E1796" t="s">
        <v>191</v>
      </c>
      <c r="F1796" t="s">
        <v>192</v>
      </c>
      <c r="G1796">
        <v>-2766</v>
      </c>
      <c r="H1796" t="s">
        <v>153</v>
      </c>
      <c r="I1796" t="s">
        <v>157</v>
      </c>
    </row>
    <row r="1797" spans="1:9">
      <c r="A1797" s="49">
        <v>45858</v>
      </c>
      <c r="B1797" s="50">
        <v>0.05815972222222222</v>
      </c>
      <c r="C1797" t="s">
        <v>155</v>
      </c>
      <c r="D1797" t="s">
        <v>155</v>
      </c>
      <c r="E1797" t="s">
        <v>32</v>
      </c>
      <c r="F1797" t="s">
        <v>713</v>
      </c>
      <c r="G1797">
        <v>300000</v>
      </c>
      <c r="H1797" t="s">
        <v>153</v>
      </c>
      <c r="I1797" t="s">
        <v>64</v>
      </c>
    </row>
    <row r="1798" spans="1:9">
      <c r="A1798" s="49">
        <v>45858</v>
      </c>
      <c r="B1798" s="50">
        <v>0.05568287037037037</v>
      </c>
      <c r="C1798" t="s">
        <v>150</v>
      </c>
      <c r="D1798" t="s">
        <v>40</v>
      </c>
      <c r="E1798" t="s">
        <v>172</v>
      </c>
      <c r="F1798" t="s">
        <v>379</v>
      </c>
      <c r="G1798">
        <v>-2500</v>
      </c>
      <c r="H1798" t="s">
        <v>153</v>
      </c>
      <c r="I1798" t="s">
        <v>214</v>
      </c>
    </row>
    <row r="1799" spans="1:9">
      <c r="A1799" s="49">
        <v>45857</v>
      </c>
      <c r="B1799" s="50">
        <v>0.9250925925925926</v>
      </c>
      <c r="C1799" t="s">
        <v>150</v>
      </c>
      <c r="D1799" t="s">
        <v>35</v>
      </c>
      <c r="E1799" t="s">
        <v>174</v>
      </c>
      <c r="F1799" t="s">
        <v>314</v>
      </c>
      <c r="G1799">
        <v>-10000</v>
      </c>
      <c r="H1799" t="s">
        <v>153</v>
      </c>
      <c r="I1799" t="s">
        <v>64</v>
      </c>
    </row>
    <row r="1800" spans="1:9">
      <c r="A1800" s="49">
        <v>45857</v>
      </c>
      <c r="B1800" s="50">
        <v>0.8136921296296297</v>
      </c>
      <c r="C1800" t="s">
        <v>150</v>
      </c>
      <c r="D1800" t="s">
        <v>48</v>
      </c>
      <c r="E1800" t="s">
        <v>566</v>
      </c>
      <c r="F1800" t="s">
        <v>818</v>
      </c>
      <c r="G1800">
        <v>-4500</v>
      </c>
      <c r="H1800" t="s">
        <v>153</v>
      </c>
      <c r="I1800" t="s">
        <v>214</v>
      </c>
    </row>
    <row r="1801" spans="1:9">
      <c r="A1801" s="49">
        <v>45857</v>
      </c>
      <c r="B1801" s="50">
        <v>0.2920833333333333</v>
      </c>
      <c r="C1801" t="s">
        <v>150</v>
      </c>
      <c r="D1801" t="s">
        <v>37</v>
      </c>
      <c r="E1801" t="s">
        <v>201</v>
      </c>
      <c r="F1801" t="s">
        <v>819</v>
      </c>
      <c r="G1801">
        <v>-138318</v>
      </c>
      <c r="H1801" t="s">
        <v>153</v>
      </c>
      <c r="I1801" t="s">
        <v>214</v>
      </c>
    </row>
    <row r="1802" spans="1:9">
      <c r="A1802" s="49">
        <v>45856</v>
      </c>
      <c r="B1802" s="50">
        <v>0.932974537037037</v>
      </c>
      <c r="C1802" t="s">
        <v>150</v>
      </c>
      <c r="D1802" t="s">
        <v>40</v>
      </c>
      <c r="E1802" t="s">
        <v>172</v>
      </c>
      <c r="F1802" t="s">
        <v>459</v>
      </c>
      <c r="G1802">
        <v>-3900</v>
      </c>
      <c r="H1802" t="s">
        <v>153</v>
      </c>
      <c r="I1802" t="s">
        <v>214</v>
      </c>
    </row>
    <row r="1803" spans="1:9">
      <c r="A1803" s="49">
        <v>45856</v>
      </c>
      <c r="B1803" s="50">
        <v>0.5898842592592592</v>
      </c>
      <c r="C1803" t="s">
        <v>150</v>
      </c>
      <c r="D1803" t="s">
        <v>42</v>
      </c>
      <c r="E1803" t="s">
        <v>151</v>
      </c>
      <c r="F1803" t="s">
        <v>152</v>
      </c>
      <c r="G1803">
        <v>-28400</v>
      </c>
      <c r="H1803" t="s">
        <v>153</v>
      </c>
      <c r="I1803" t="s">
        <v>64</v>
      </c>
    </row>
    <row r="1804" spans="1:9">
      <c r="A1804" s="49">
        <v>45856</v>
      </c>
      <c r="B1804" s="50">
        <v>0.4613425925925926</v>
      </c>
      <c r="C1804" t="s">
        <v>155</v>
      </c>
      <c r="D1804" t="s">
        <v>229</v>
      </c>
      <c r="E1804" t="s">
        <v>32</v>
      </c>
      <c r="F1804" t="s">
        <v>432</v>
      </c>
      <c r="G1804">
        <v>1381618</v>
      </c>
      <c r="H1804" t="s">
        <v>153</v>
      </c>
      <c r="I1804" t="s">
        <v>64</v>
      </c>
    </row>
    <row r="1805" spans="1:9">
      <c r="A1805" s="49">
        <v>45856</v>
      </c>
      <c r="B1805" s="50">
        <v>0.3340509259259259</v>
      </c>
      <c r="C1805" t="s">
        <v>155</v>
      </c>
      <c r="D1805" t="s">
        <v>229</v>
      </c>
      <c r="E1805" t="s">
        <v>32</v>
      </c>
      <c r="F1805" t="s">
        <v>820</v>
      </c>
      <c r="G1805">
        <v>300000</v>
      </c>
      <c r="H1805" t="s">
        <v>153</v>
      </c>
      <c r="I1805" t="s">
        <v>64</v>
      </c>
    </row>
    <row r="1806" spans="1:9">
      <c r="A1806" s="49">
        <v>45856</v>
      </c>
      <c r="B1806" s="50">
        <v>0.3061226851851852</v>
      </c>
      <c r="C1806" t="s">
        <v>150</v>
      </c>
      <c r="D1806" t="s">
        <v>40</v>
      </c>
      <c r="E1806" t="s">
        <v>172</v>
      </c>
      <c r="F1806" t="s">
        <v>821</v>
      </c>
      <c r="G1806">
        <v>-7400</v>
      </c>
      <c r="H1806" t="s">
        <v>153</v>
      </c>
      <c r="I1806" t="s">
        <v>164</v>
      </c>
    </row>
    <row r="1807" spans="1:9">
      <c r="A1807" s="49">
        <v>45856</v>
      </c>
      <c r="B1807" s="50">
        <v>0.3061226851851852</v>
      </c>
      <c r="C1807" t="s">
        <v>155</v>
      </c>
      <c r="D1807" t="s">
        <v>158</v>
      </c>
      <c r="E1807" t="s">
        <v>32</v>
      </c>
      <c r="F1807" t="s">
        <v>159</v>
      </c>
      <c r="G1807">
        <v>10000</v>
      </c>
      <c r="H1807" t="s">
        <v>153</v>
      </c>
      <c r="I1807" t="s">
        <v>157</v>
      </c>
    </row>
    <row r="1808" spans="1:9">
      <c r="A1808" s="49">
        <v>45856</v>
      </c>
      <c r="B1808" s="50">
        <v>0.3061226851851852</v>
      </c>
      <c r="C1808" t="s">
        <v>155</v>
      </c>
      <c r="D1808" t="s">
        <v>158</v>
      </c>
      <c r="E1808" t="s">
        <v>32</v>
      </c>
      <c r="F1808" t="s">
        <v>160</v>
      </c>
      <c r="G1808">
        <v>-10000</v>
      </c>
      <c r="H1808" t="s">
        <v>153</v>
      </c>
      <c r="I1808" t="s">
        <v>64</v>
      </c>
    </row>
    <row r="1809" spans="1:9">
      <c r="A1809" s="49">
        <v>45855</v>
      </c>
      <c r="B1809" s="50">
        <v>0.7749884259259259</v>
      </c>
      <c r="C1809" t="s">
        <v>155</v>
      </c>
      <c r="D1809" t="s">
        <v>155</v>
      </c>
      <c r="E1809" t="s">
        <v>32</v>
      </c>
      <c r="F1809" t="s">
        <v>822</v>
      </c>
      <c r="G1809">
        <v>349000</v>
      </c>
      <c r="H1809" t="s">
        <v>153</v>
      </c>
      <c r="I1809" t="s">
        <v>64</v>
      </c>
    </row>
    <row r="1810" spans="1:9">
      <c r="A1810" s="49">
        <v>45855</v>
      </c>
      <c r="B1810" s="50">
        <v>0.7209953703703704</v>
      </c>
      <c r="C1810" t="s">
        <v>150</v>
      </c>
      <c r="D1810" t="s">
        <v>42</v>
      </c>
      <c r="E1810" t="s">
        <v>151</v>
      </c>
      <c r="F1810" t="s">
        <v>152</v>
      </c>
      <c r="G1810">
        <v>-44000</v>
      </c>
      <c r="H1810" t="s">
        <v>153</v>
      </c>
      <c r="I1810" t="s">
        <v>64</v>
      </c>
    </row>
    <row r="1811" spans="1:9">
      <c r="A1811" s="49">
        <v>45855</v>
      </c>
      <c r="B1811" s="50">
        <v>0.5574305555555555</v>
      </c>
      <c r="C1811" t="s">
        <v>150</v>
      </c>
      <c r="D1811" t="s">
        <v>40</v>
      </c>
      <c r="E1811" t="s">
        <v>172</v>
      </c>
      <c r="F1811" t="s">
        <v>714</v>
      </c>
      <c r="G1811">
        <v>-1700</v>
      </c>
      <c r="H1811" t="s">
        <v>153</v>
      </c>
      <c r="I1811" t="s">
        <v>164</v>
      </c>
    </row>
    <row r="1812" spans="1:9">
      <c r="A1812" s="49">
        <v>45855</v>
      </c>
      <c r="B1812" s="50">
        <v>0.4480208333333333</v>
      </c>
      <c r="C1812" t="s">
        <v>150</v>
      </c>
      <c r="D1812" t="s">
        <v>40</v>
      </c>
      <c r="E1812" t="s">
        <v>172</v>
      </c>
      <c r="F1812" t="s">
        <v>714</v>
      </c>
      <c r="G1812">
        <v>-2300</v>
      </c>
      <c r="H1812" t="s">
        <v>153</v>
      </c>
      <c r="I1812" t="s">
        <v>164</v>
      </c>
    </row>
    <row r="1813" spans="1:9">
      <c r="A1813" s="49">
        <v>45854</v>
      </c>
      <c r="B1813" s="50">
        <v>0.8339120370370371</v>
      </c>
      <c r="C1813" t="s">
        <v>150</v>
      </c>
      <c r="D1813" t="s">
        <v>40</v>
      </c>
      <c r="E1813" t="s">
        <v>172</v>
      </c>
      <c r="F1813" t="s">
        <v>714</v>
      </c>
      <c r="G1813">
        <v>-4000</v>
      </c>
      <c r="H1813" t="s">
        <v>153</v>
      </c>
      <c r="I1813" t="s">
        <v>164</v>
      </c>
    </row>
    <row r="1814" spans="1:9">
      <c r="A1814" s="49">
        <v>45854</v>
      </c>
      <c r="B1814" s="50">
        <v>0.8339120370370371</v>
      </c>
      <c r="C1814" t="s">
        <v>155</v>
      </c>
      <c r="D1814" t="s">
        <v>158</v>
      </c>
      <c r="E1814" t="s">
        <v>32</v>
      </c>
      <c r="F1814" t="s">
        <v>159</v>
      </c>
      <c r="G1814">
        <v>10000</v>
      </c>
      <c r="H1814" t="s">
        <v>153</v>
      </c>
      <c r="I1814" t="s">
        <v>157</v>
      </c>
    </row>
    <row r="1815" spans="1:9">
      <c r="A1815" s="49">
        <v>45854</v>
      </c>
      <c r="B1815" s="50">
        <v>0.8339120370370371</v>
      </c>
      <c r="C1815" t="s">
        <v>155</v>
      </c>
      <c r="D1815" t="s">
        <v>158</v>
      </c>
      <c r="E1815" t="s">
        <v>32</v>
      </c>
      <c r="F1815" t="s">
        <v>160</v>
      </c>
      <c r="G1815">
        <v>-10000</v>
      </c>
      <c r="H1815" t="s">
        <v>153</v>
      </c>
      <c r="I1815" t="s">
        <v>64</v>
      </c>
    </row>
    <row r="1816" spans="1:9">
      <c r="A1816" s="49">
        <v>45854</v>
      </c>
      <c r="B1816" s="50">
        <v>0.5121296296296296</v>
      </c>
      <c r="C1816" t="s">
        <v>150</v>
      </c>
      <c r="D1816" t="s">
        <v>48</v>
      </c>
      <c r="E1816" t="s">
        <v>185</v>
      </c>
      <c r="F1816" t="s">
        <v>823</v>
      </c>
      <c r="G1816">
        <v>-10600</v>
      </c>
      <c r="H1816" t="s">
        <v>153</v>
      </c>
      <c r="I1816" t="s">
        <v>214</v>
      </c>
    </row>
    <row r="1817" spans="1:9">
      <c r="A1817" s="49">
        <v>45854</v>
      </c>
      <c r="B1817" s="50">
        <v>0.02247685185185185</v>
      </c>
      <c r="C1817" t="s">
        <v>155</v>
      </c>
      <c r="D1817" t="s">
        <v>158</v>
      </c>
      <c r="E1817" t="s">
        <v>32</v>
      </c>
      <c r="F1817" t="s">
        <v>7</v>
      </c>
      <c r="G1817">
        <v>-9000000</v>
      </c>
      <c r="H1817" t="s">
        <v>153</v>
      </c>
      <c r="I1817" t="s">
        <v>64</v>
      </c>
    </row>
    <row r="1818" spans="1:9">
      <c r="A1818" s="49">
        <v>45853</v>
      </c>
      <c r="B1818" s="50">
        <v>0.8692361111111111</v>
      </c>
      <c r="C1818" t="s">
        <v>155</v>
      </c>
      <c r="D1818" t="s">
        <v>155</v>
      </c>
      <c r="E1818" t="s">
        <v>32</v>
      </c>
      <c r="F1818" t="s">
        <v>824</v>
      </c>
      <c r="G1818">
        <v>499000</v>
      </c>
      <c r="H1818" t="s">
        <v>153</v>
      </c>
      <c r="I1818" t="s">
        <v>64</v>
      </c>
    </row>
    <row r="1819" spans="1:9">
      <c r="A1819" s="49">
        <v>45853</v>
      </c>
      <c r="B1819" s="50">
        <v>0.7196759259259259</v>
      </c>
      <c r="C1819" t="s">
        <v>150</v>
      </c>
      <c r="D1819" t="s">
        <v>44</v>
      </c>
      <c r="E1819" t="s">
        <v>315</v>
      </c>
      <c r="F1819" t="s">
        <v>316</v>
      </c>
      <c r="G1819">
        <v>-33500</v>
      </c>
      <c r="H1819" t="s">
        <v>153</v>
      </c>
      <c r="I1819" t="s">
        <v>164</v>
      </c>
    </row>
    <row r="1820" spans="1:9">
      <c r="A1820" s="49">
        <v>45853</v>
      </c>
      <c r="B1820" s="50">
        <v>0.7196759259259259</v>
      </c>
      <c r="C1820" t="s">
        <v>155</v>
      </c>
      <c r="D1820" t="s">
        <v>158</v>
      </c>
      <c r="E1820" t="s">
        <v>32</v>
      </c>
      <c r="F1820" t="s">
        <v>159</v>
      </c>
      <c r="G1820">
        <v>30900</v>
      </c>
      <c r="H1820" t="s">
        <v>153</v>
      </c>
      <c r="I1820" t="s">
        <v>157</v>
      </c>
    </row>
    <row r="1821" spans="1:9">
      <c r="A1821" s="49">
        <v>45853</v>
      </c>
      <c r="B1821" s="50">
        <v>0.7196759259259259</v>
      </c>
      <c r="C1821" t="s">
        <v>155</v>
      </c>
      <c r="D1821" t="s">
        <v>158</v>
      </c>
      <c r="E1821" t="s">
        <v>32</v>
      </c>
      <c r="F1821" t="s">
        <v>160</v>
      </c>
      <c r="G1821">
        <v>-30900</v>
      </c>
      <c r="H1821" t="s">
        <v>153</v>
      </c>
      <c r="I1821" t="s">
        <v>64</v>
      </c>
    </row>
    <row r="1822" spans="1:9">
      <c r="A1822" s="49">
        <v>45853</v>
      </c>
      <c r="B1822" s="50">
        <v>0.7058796296296296</v>
      </c>
      <c r="C1822" t="s">
        <v>150</v>
      </c>
      <c r="D1822" t="s">
        <v>42</v>
      </c>
      <c r="E1822" t="s">
        <v>151</v>
      </c>
      <c r="F1822" t="s">
        <v>152</v>
      </c>
      <c r="G1822">
        <v>-30000</v>
      </c>
      <c r="H1822" t="s">
        <v>153</v>
      </c>
      <c r="I1822" t="s">
        <v>64</v>
      </c>
    </row>
    <row r="1823" spans="1:9">
      <c r="A1823" s="49">
        <v>45853</v>
      </c>
      <c r="B1823" s="50">
        <v>0.5194328703703703</v>
      </c>
      <c r="C1823" t="s">
        <v>155</v>
      </c>
      <c r="D1823" t="s">
        <v>155</v>
      </c>
      <c r="E1823" t="s">
        <v>32</v>
      </c>
      <c r="F1823" t="s">
        <v>825</v>
      </c>
      <c r="G1823">
        <v>499000</v>
      </c>
      <c r="H1823" t="s">
        <v>153</v>
      </c>
      <c r="I1823" t="s">
        <v>64</v>
      </c>
    </row>
    <row r="1824" spans="1:9">
      <c r="A1824" s="49">
        <v>45853</v>
      </c>
      <c r="B1824" s="50">
        <v>0.3790509259259259</v>
      </c>
      <c r="C1824" t="s">
        <v>155</v>
      </c>
      <c r="D1824" t="s">
        <v>155</v>
      </c>
      <c r="E1824" t="s">
        <v>32</v>
      </c>
      <c r="F1824" t="s">
        <v>246</v>
      </c>
      <c r="G1824">
        <v>-41500</v>
      </c>
      <c r="H1824" t="s">
        <v>153</v>
      </c>
      <c r="I1824" t="s">
        <v>64</v>
      </c>
    </row>
    <row r="1825" spans="1:9">
      <c r="A1825" s="49">
        <v>45853</v>
      </c>
      <c r="B1825" s="50">
        <v>0.342337962962963</v>
      </c>
      <c r="C1825" t="s">
        <v>150</v>
      </c>
      <c r="D1825" t="s">
        <v>36</v>
      </c>
      <c r="E1825" t="s">
        <v>342</v>
      </c>
      <c r="F1825" t="s">
        <v>533</v>
      </c>
      <c r="G1825">
        <v>-100000</v>
      </c>
      <c r="H1825" t="s">
        <v>153</v>
      </c>
      <c r="I1825" t="s">
        <v>64</v>
      </c>
    </row>
    <row r="1826" spans="1:9">
      <c r="A1826" s="49">
        <v>45853</v>
      </c>
      <c r="B1826" s="50">
        <v>0.02679398148148148</v>
      </c>
      <c r="C1826" t="s">
        <v>150</v>
      </c>
      <c r="D1826" t="s">
        <v>40</v>
      </c>
      <c r="E1826" t="s">
        <v>172</v>
      </c>
      <c r="F1826" t="s">
        <v>714</v>
      </c>
      <c r="G1826">
        <v>-2400</v>
      </c>
      <c r="H1826" t="s">
        <v>153</v>
      </c>
      <c r="I1826" t="s">
        <v>164</v>
      </c>
    </row>
    <row r="1827" spans="1:9">
      <c r="A1827" s="49">
        <v>45852</v>
      </c>
      <c r="B1827" s="50">
        <v>0.8744791666666667</v>
      </c>
      <c r="C1827" t="s">
        <v>150</v>
      </c>
      <c r="D1827" t="s">
        <v>40</v>
      </c>
      <c r="E1827" t="s">
        <v>172</v>
      </c>
      <c r="F1827" t="s">
        <v>714</v>
      </c>
      <c r="G1827">
        <v>-5000</v>
      </c>
      <c r="H1827" t="s">
        <v>153</v>
      </c>
      <c r="I1827" t="s">
        <v>164</v>
      </c>
    </row>
    <row r="1828" spans="1:9">
      <c r="A1828" s="49">
        <v>45852</v>
      </c>
      <c r="B1828" s="50">
        <v>0.8744791666666667</v>
      </c>
      <c r="C1828" t="s">
        <v>155</v>
      </c>
      <c r="D1828" t="s">
        <v>158</v>
      </c>
      <c r="E1828" t="s">
        <v>32</v>
      </c>
      <c r="F1828" t="s">
        <v>159</v>
      </c>
      <c r="G1828">
        <v>10000</v>
      </c>
      <c r="H1828" t="s">
        <v>153</v>
      </c>
      <c r="I1828" t="s">
        <v>157</v>
      </c>
    </row>
    <row r="1829" spans="1:9">
      <c r="A1829" s="49">
        <v>45852</v>
      </c>
      <c r="B1829" s="50">
        <v>0.8744791666666667</v>
      </c>
      <c r="C1829" t="s">
        <v>155</v>
      </c>
      <c r="D1829" t="s">
        <v>158</v>
      </c>
      <c r="E1829" t="s">
        <v>32</v>
      </c>
      <c r="F1829" t="s">
        <v>160</v>
      </c>
      <c r="G1829">
        <v>-10000</v>
      </c>
      <c r="H1829" t="s">
        <v>153</v>
      </c>
      <c r="I1829" t="s">
        <v>64</v>
      </c>
    </row>
    <row r="1830" spans="1:9">
      <c r="A1830" s="49">
        <v>45852</v>
      </c>
      <c r="B1830" s="50">
        <v>0.7245717592592592</v>
      </c>
      <c r="C1830" t="s">
        <v>150</v>
      </c>
      <c r="D1830" t="s">
        <v>36</v>
      </c>
      <c r="E1830" t="s">
        <v>191</v>
      </c>
      <c r="F1830" t="s">
        <v>192</v>
      </c>
      <c r="G1830">
        <v>-16600</v>
      </c>
      <c r="H1830" t="s">
        <v>153</v>
      </c>
      <c r="I1830" t="s">
        <v>157</v>
      </c>
    </row>
    <row r="1831" spans="1:9">
      <c r="A1831" s="49">
        <v>45852</v>
      </c>
      <c r="B1831" s="50">
        <v>0.7245717592592592</v>
      </c>
      <c r="C1831" t="s">
        <v>155</v>
      </c>
      <c r="D1831" t="s">
        <v>158</v>
      </c>
      <c r="E1831" t="s">
        <v>32</v>
      </c>
      <c r="F1831" t="s">
        <v>160</v>
      </c>
      <c r="G1831">
        <v>-10500</v>
      </c>
      <c r="H1831" t="s">
        <v>153</v>
      </c>
      <c r="I1831" t="s">
        <v>64</v>
      </c>
    </row>
    <row r="1832" spans="1:9">
      <c r="A1832" s="49">
        <v>45852</v>
      </c>
      <c r="B1832" s="50">
        <v>0.7245601851851852</v>
      </c>
      <c r="C1832" t="s">
        <v>155</v>
      </c>
      <c r="D1832" t="s">
        <v>158</v>
      </c>
      <c r="E1832" t="s">
        <v>32</v>
      </c>
      <c r="F1832" t="s">
        <v>159</v>
      </c>
      <c r="G1832">
        <v>10500</v>
      </c>
      <c r="H1832" t="s">
        <v>153</v>
      </c>
      <c r="I1832" t="s">
        <v>157</v>
      </c>
    </row>
    <row r="1833" spans="1:9">
      <c r="A1833" s="49">
        <v>45852</v>
      </c>
      <c r="B1833" s="50">
        <v>0.3969097222222222</v>
      </c>
      <c r="C1833" t="s">
        <v>155</v>
      </c>
      <c r="D1833" t="s">
        <v>158</v>
      </c>
      <c r="E1833" t="s">
        <v>32</v>
      </c>
      <c r="F1833" t="s">
        <v>159</v>
      </c>
      <c r="G1833">
        <v>10000</v>
      </c>
      <c r="H1833" t="s">
        <v>153</v>
      </c>
      <c r="I1833" t="s">
        <v>157</v>
      </c>
    </row>
    <row r="1834" spans="1:9">
      <c r="A1834" s="49">
        <v>45852</v>
      </c>
      <c r="B1834" s="50">
        <v>0.3969097222222222</v>
      </c>
      <c r="C1834" t="s">
        <v>150</v>
      </c>
      <c r="D1834" t="s">
        <v>44</v>
      </c>
      <c r="E1834" t="s">
        <v>162</v>
      </c>
      <c r="F1834" t="s">
        <v>163</v>
      </c>
      <c r="G1834">
        <v>-3900</v>
      </c>
      <c r="H1834" t="s">
        <v>153</v>
      </c>
      <c r="I1834" t="s">
        <v>164</v>
      </c>
    </row>
    <row r="1835" spans="1:9">
      <c r="A1835" s="49">
        <v>45852</v>
      </c>
      <c r="B1835" s="50">
        <v>0.3969097222222222</v>
      </c>
      <c r="C1835" t="s">
        <v>155</v>
      </c>
      <c r="D1835" t="s">
        <v>158</v>
      </c>
      <c r="E1835" t="s">
        <v>32</v>
      </c>
      <c r="F1835" t="s">
        <v>160</v>
      </c>
      <c r="G1835">
        <v>-10000</v>
      </c>
      <c r="H1835" t="s">
        <v>153</v>
      </c>
      <c r="I1835" t="s">
        <v>64</v>
      </c>
    </row>
    <row r="1836" spans="1:9">
      <c r="A1836" s="49">
        <v>45852</v>
      </c>
      <c r="B1836" s="50">
        <v>0.3695138888888889</v>
      </c>
      <c r="C1836" t="s">
        <v>155</v>
      </c>
      <c r="D1836" t="s">
        <v>155</v>
      </c>
      <c r="E1836" t="s">
        <v>32</v>
      </c>
      <c r="F1836" t="s">
        <v>591</v>
      </c>
      <c r="G1836">
        <v>499000</v>
      </c>
      <c r="H1836" t="s">
        <v>153</v>
      </c>
      <c r="I1836" t="s">
        <v>64</v>
      </c>
    </row>
    <row r="1837" spans="1:9">
      <c r="A1837" s="49">
        <v>45852</v>
      </c>
      <c r="B1837" s="50">
        <v>0.3508449074074074</v>
      </c>
      <c r="C1837" t="s">
        <v>150</v>
      </c>
      <c r="D1837" t="s">
        <v>42</v>
      </c>
      <c r="E1837" t="s">
        <v>374</v>
      </c>
      <c r="F1837" t="s">
        <v>375</v>
      </c>
      <c r="G1837">
        <v>-5300</v>
      </c>
      <c r="H1837" t="s">
        <v>153</v>
      </c>
      <c r="I1837" t="s">
        <v>214</v>
      </c>
    </row>
    <row r="1838" spans="1:9">
      <c r="A1838" s="49">
        <v>45852</v>
      </c>
      <c r="B1838" s="50">
        <v>0.3319097222222222</v>
      </c>
      <c r="C1838" t="s">
        <v>150</v>
      </c>
      <c r="D1838" t="s">
        <v>36</v>
      </c>
      <c r="E1838" t="s">
        <v>191</v>
      </c>
      <c r="F1838" t="s">
        <v>192</v>
      </c>
      <c r="G1838">
        <v>-34180</v>
      </c>
      <c r="H1838" t="s">
        <v>153</v>
      </c>
      <c r="I1838" t="s">
        <v>157</v>
      </c>
    </row>
    <row r="1839" spans="1:9">
      <c r="A1839" s="49">
        <v>45852</v>
      </c>
      <c r="B1839" s="50">
        <v>0.3318981481481482</v>
      </c>
      <c r="C1839" t="s">
        <v>155</v>
      </c>
      <c r="D1839" t="s">
        <v>158</v>
      </c>
      <c r="E1839" t="s">
        <v>32</v>
      </c>
      <c r="F1839" t="s">
        <v>159</v>
      </c>
      <c r="G1839">
        <v>27578</v>
      </c>
      <c r="H1839" t="s">
        <v>153</v>
      </c>
      <c r="I1839" t="s">
        <v>157</v>
      </c>
    </row>
    <row r="1840" spans="1:9">
      <c r="A1840" s="49">
        <v>45852</v>
      </c>
      <c r="B1840" s="50">
        <v>0.3318981481481482</v>
      </c>
      <c r="C1840" t="s">
        <v>155</v>
      </c>
      <c r="D1840" t="s">
        <v>158</v>
      </c>
      <c r="E1840" t="s">
        <v>32</v>
      </c>
      <c r="F1840" t="s">
        <v>160</v>
      </c>
      <c r="G1840">
        <v>-27578</v>
      </c>
      <c r="H1840" t="s">
        <v>153</v>
      </c>
      <c r="I1840" t="s">
        <v>64</v>
      </c>
    </row>
    <row r="1841" spans="1:9">
      <c r="A1841" s="49">
        <v>45852</v>
      </c>
      <c r="B1841" s="50">
        <v>0.01153935185185185</v>
      </c>
      <c r="C1841" t="s">
        <v>155</v>
      </c>
      <c r="D1841" t="s">
        <v>155</v>
      </c>
      <c r="E1841" t="s">
        <v>32</v>
      </c>
      <c r="F1841" t="s">
        <v>826</v>
      </c>
      <c r="G1841">
        <v>499000</v>
      </c>
      <c r="H1841" t="s">
        <v>153</v>
      </c>
      <c r="I1841" t="s">
        <v>64</v>
      </c>
    </row>
    <row r="1842" spans="1:9">
      <c r="A1842" s="49">
        <v>45851</v>
      </c>
      <c r="B1842" s="50">
        <v>0.9503703703703704</v>
      </c>
      <c r="C1842" t="s">
        <v>155</v>
      </c>
      <c r="D1842" t="s">
        <v>158</v>
      </c>
      <c r="E1842" t="s">
        <v>32</v>
      </c>
      <c r="F1842" t="s">
        <v>159</v>
      </c>
      <c r="G1842">
        <v>10000</v>
      </c>
      <c r="H1842" t="s">
        <v>153</v>
      </c>
      <c r="I1842" t="s">
        <v>157</v>
      </c>
    </row>
    <row r="1843" spans="1:9">
      <c r="A1843" s="49">
        <v>45851</v>
      </c>
      <c r="B1843" s="50">
        <v>0.9503703703703704</v>
      </c>
      <c r="C1843" t="s">
        <v>150</v>
      </c>
      <c r="D1843" t="s">
        <v>40</v>
      </c>
      <c r="E1843" t="s">
        <v>172</v>
      </c>
      <c r="F1843" t="s">
        <v>714</v>
      </c>
      <c r="G1843">
        <v>-3400</v>
      </c>
      <c r="H1843" t="s">
        <v>153</v>
      </c>
      <c r="I1843" t="s">
        <v>164</v>
      </c>
    </row>
    <row r="1844" spans="1:9">
      <c r="A1844" s="49">
        <v>45851</v>
      </c>
      <c r="B1844" s="50">
        <v>0.9503703703703704</v>
      </c>
      <c r="C1844" t="s">
        <v>155</v>
      </c>
      <c r="D1844" t="s">
        <v>158</v>
      </c>
      <c r="E1844" t="s">
        <v>32</v>
      </c>
      <c r="F1844" t="s">
        <v>160</v>
      </c>
      <c r="G1844">
        <v>-10000</v>
      </c>
      <c r="H1844" t="s">
        <v>153</v>
      </c>
      <c r="I1844" t="s">
        <v>64</v>
      </c>
    </row>
    <row r="1845" spans="1:9">
      <c r="A1845" s="49">
        <v>45851</v>
      </c>
      <c r="B1845" s="50">
        <v>0.8136226851851852</v>
      </c>
      <c r="C1845" t="s">
        <v>150</v>
      </c>
      <c r="D1845" t="s">
        <v>44</v>
      </c>
      <c r="E1845" t="s">
        <v>162</v>
      </c>
      <c r="F1845" t="s">
        <v>163</v>
      </c>
      <c r="G1845">
        <v>-27900</v>
      </c>
      <c r="H1845" t="s">
        <v>153</v>
      </c>
      <c r="I1845" t="s">
        <v>164</v>
      </c>
    </row>
    <row r="1846" spans="1:9">
      <c r="A1846" s="49">
        <v>45851</v>
      </c>
      <c r="B1846" s="50">
        <v>0.8136226851851852</v>
      </c>
      <c r="C1846" t="s">
        <v>155</v>
      </c>
      <c r="D1846" t="s">
        <v>158</v>
      </c>
      <c r="E1846" t="s">
        <v>32</v>
      </c>
      <c r="F1846" t="s">
        <v>159</v>
      </c>
      <c r="G1846">
        <v>19900</v>
      </c>
      <c r="H1846" t="s">
        <v>153</v>
      </c>
      <c r="I1846" t="s">
        <v>157</v>
      </c>
    </row>
    <row r="1847" spans="1:9">
      <c r="A1847" s="49">
        <v>45851</v>
      </c>
      <c r="B1847" s="50">
        <v>0.8136226851851852</v>
      </c>
      <c r="C1847" t="s">
        <v>155</v>
      </c>
      <c r="D1847" t="s">
        <v>158</v>
      </c>
      <c r="E1847" t="s">
        <v>32</v>
      </c>
      <c r="F1847" t="s">
        <v>160</v>
      </c>
      <c r="G1847">
        <v>-19900</v>
      </c>
      <c r="H1847" t="s">
        <v>153</v>
      </c>
      <c r="I1847" t="s">
        <v>64</v>
      </c>
    </row>
    <row r="1848" spans="1:9">
      <c r="A1848" s="49">
        <v>45851</v>
      </c>
      <c r="B1848" s="50">
        <v>0.5905092592592592</v>
      </c>
      <c r="C1848" t="s">
        <v>150</v>
      </c>
      <c r="D1848" t="s">
        <v>36</v>
      </c>
      <c r="E1848" t="s">
        <v>266</v>
      </c>
      <c r="F1848" t="s">
        <v>827</v>
      </c>
      <c r="G1848">
        <v>-55000</v>
      </c>
      <c r="H1848" t="s">
        <v>153</v>
      </c>
      <c r="I1848" t="s">
        <v>171</v>
      </c>
    </row>
    <row r="1849" spans="1:9">
      <c r="A1849" s="49">
        <v>45851</v>
      </c>
      <c r="B1849" s="50">
        <v>0.5505208333333333</v>
      </c>
      <c r="C1849" t="s">
        <v>150</v>
      </c>
      <c r="D1849" t="s">
        <v>42</v>
      </c>
      <c r="E1849" t="s">
        <v>151</v>
      </c>
      <c r="F1849" t="s">
        <v>152</v>
      </c>
      <c r="G1849">
        <v>-21000</v>
      </c>
      <c r="H1849" t="s">
        <v>153</v>
      </c>
      <c r="I1849" t="s">
        <v>64</v>
      </c>
    </row>
    <row r="1850" spans="1:9">
      <c r="A1850" s="49">
        <v>45851</v>
      </c>
      <c r="B1850" s="50">
        <v>0.4393171296296297</v>
      </c>
      <c r="C1850" t="s">
        <v>150</v>
      </c>
      <c r="D1850" t="s">
        <v>42</v>
      </c>
      <c r="E1850" t="s">
        <v>151</v>
      </c>
      <c r="F1850" t="s">
        <v>152</v>
      </c>
      <c r="G1850">
        <v>-10000</v>
      </c>
      <c r="H1850" t="s">
        <v>153</v>
      </c>
      <c r="I1850" t="s">
        <v>64</v>
      </c>
    </row>
    <row r="1851" spans="1:9">
      <c r="A1851" s="49">
        <v>45850</v>
      </c>
      <c r="B1851" s="50">
        <v>0.8726388888888889</v>
      </c>
      <c r="C1851" t="s">
        <v>150</v>
      </c>
      <c r="D1851" t="s">
        <v>44</v>
      </c>
      <c r="E1851" t="s">
        <v>225</v>
      </c>
      <c r="F1851" t="s">
        <v>228</v>
      </c>
      <c r="G1851">
        <v>-14937</v>
      </c>
      <c r="H1851" t="s">
        <v>153</v>
      </c>
      <c r="I1851" t="s">
        <v>214</v>
      </c>
    </row>
    <row r="1852" spans="1:9">
      <c r="A1852" s="49">
        <v>45850</v>
      </c>
      <c r="B1852" s="50">
        <v>0.7348958333333333</v>
      </c>
      <c r="C1852" t="s">
        <v>150</v>
      </c>
      <c r="D1852" t="s">
        <v>34</v>
      </c>
      <c r="E1852" t="s">
        <v>322</v>
      </c>
      <c r="F1852" t="s">
        <v>323</v>
      </c>
      <c r="G1852">
        <v>-46662</v>
      </c>
      <c r="H1852" t="s">
        <v>153</v>
      </c>
      <c r="I1852" t="s">
        <v>214</v>
      </c>
    </row>
    <row r="1853" spans="1:9">
      <c r="A1853" s="49">
        <v>45849</v>
      </c>
      <c r="B1853" s="50">
        <v>0.9772222222222222</v>
      </c>
      <c r="C1853" t="s">
        <v>155</v>
      </c>
      <c r="D1853" t="s">
        <v>158</v>
      </c>
      <c r="E1853" t="s">
        <v>32</v>
      </c>
      <c r="F1853" t="s">
        <v>160</v>
      </c>
      <c r="G1853">
        <v>-10000</v>
      </c>
      <c r="H1853" t="s">
        <v>153</v>
      </c>
      <c r="I1853" t="s">
        <v>64</v>
      </c>
    </row>
    <row r="1854" spans="1:9">
      <c r="A1854" s="49">
        <v>45849</v>
      </c>
      <c r="B1854" s="50">
        <v>0.9772106481481482</v>
      </c>
      <c r="C1854" t="s">
        <v>155</v>
      </c>
      <c r="D1854" t="s">
        <v>158</v>
      </c>
      <c r="E1854" t="s">
        <v>32</v>
      </c>
      <c r="F1854" t="s">
        <v>159</v>
      </c>
      <c r="G1854">
        <v>10000</v>
      </c>
      <c r="H1854" t="s">
        <v>153</v>
      </c>
      <c r="I1854" t="s">
        <v>157</v>
      </c>
    </row>
    <row r="1855" spans="1:9">
      <c r="A1855" s="49">
        <v>45849</v>
      </c>
      <c r="B1855" s="50">
        <v>0.9772106481481482</v>
      </c>
      <c r="C1855" t="s">
        <v>150</v>
      </c>
      <c r="D1855" t="s">
        <v>40</v>
      </c>
      <c r="E1855" t="s">
        <v>172</v>
      </c>
      <c r="F1855" t="s">
        <v>714</v>
      </c>
      <c r="G1855">
        <v>-3800</v>
      </c>
      <c r="H1855" t="s">
        <v>153</v>
      </c>
      <c r="I1855" t="s">
        <v>164</v>
      </c>
    </row>
    <row r="1856" spans="1:9">
      <c r="A1856" s="49">
        <v>45849</v>
      </c>
      <c r="B1856" s="50">
        <v>0.7438194444444445</v>
      </c>
      <c r="C1856" t="s">
        <v>155</v>
      </c>
      <c r="D1856" t="s">
        <v>155</v>
      </c>
      <c r="E1856" t="s">
        <v>32</v>
      </c>
      <c r="F1856" t="s">
        <v>828</v>
      </c>
      <c r="G1856">
        <v>499000</v>
      </c>
      <c r="H1856" t="s">
        <v>153</v>
      </c>
      <c r="I1856" t="s">
        <v>64</v>
      </c>
    </row>
    <row r="1857" spans="1:9">
      <c r="A1857" s="49">
        <v>45849</v>
      </c>
      <c r="B1857" s="50">
        <v>0.7327199074074074</v>
      </c>
      <c r="C1857" t="s">
        <v>150</v>
      </c>
      <c r="D1857" t="s">
        <v>42</v>
      </c>
      <c r="E1857" t="s">
        <v>177</v>
      </c>
      <c r="F1857" t="s">
        <v>829</v>
      </c>
      <c r="G1857">
        <v>-21500</v>
      </c>
      <c r="H1857" t="s">
        <v>153</v>
      </c>
      <c r="I1857" t="s">
        <v>214</v>
      </c>
    </row>
    <row r="1858" spans="1:9">
      <c r="A1858" s="49">
        <v>45849</v>
      </c>
      <c r="B1858" s="50">
        <v>0.404050925925926</v>
      </c>
      <c r="C1858" t="s">
        <v>155</v>
      </c>
      <c r="D1858" t="s">
        <v>155</v>
      </c>
      <c r="E1858" t="s">
        <v>32</v>
      </c>
      <c r="F1858" t="s">
        <v>830</v>
      </c>
      <c r="G1858">
        <v>499000</v>
      </c>
      <c r="H1858" t="s">
        <v>153</v>
      </c>
      <c r="I1858" t="s">
        <v>64</v>
      </c>
    </row>
    <row r="1859" spans="1:9">
      <c r="A1859" s="49">
        <v>45849</v>
      </c>
      <c r="B1859" s="50">
        <v>0.3699074074074074</v>
      </c>
      <c r="C1859" t="s">
        <v>150</v>
      </c>
      <c r="D1859" t="s">
        <v>36</v>
      </c>
      <c r="E1859" t="s">
        <v>191</v>
      </c>
      <c r="F1859" t="s">
        <v>192</v>
      </c>
      <c r="G1859">
        <v>-11700</v>
      </c>
      <c r="H1859" t="s">
        <v>153</v>
      </c>
      <c r="I1859" t="s">
        <v>157</v>
      </c>
    </row>
    <row r="1860" spans="1:9">
      <c r="A1860" s="49">
        <v>45849</v>
      </c>
      <c r="B1860" s="50">
        <v>0.3698958333333333</v>
      </c>
      <c r="C1860" t="s">
        <v>155</v>
      </c>
      <c r="D1860" t="s">
        <v>158</v>
      </c>
      <c r="E1860" t="s">
        <v>32</v>
      </c>
      <c r="F1860" t="s">
        <v>160</v>
      </c>
      <c r="G1860">
        <v>-10000</v>
      </c>
      <c r="H1860" t="s">
        <v>153</v>
      </c>
      <c r="I1860" t="s">
        <v>64</v>
      </c>
    </row>
    <row r="1861" spans="1:9">
      <c r="A1861" s="49">
        <v>45849</v>
      </c>
      <c r="B1861" s="50">
        <v>0.3698958333333333</v>
      </c>
      <c r="C1861" t="s">
        <v>155</v>
      </c>
      <c r="D1861" t="s">
        <v>158</v>
      </c>
      <c r="E1861" t="s">
        <v>32</v>
      </c>
      <c r="F1861" t="s">
        <v>159</v>
      </c>
      <c r="G1861">
        <v>10000</v>
      </c>
      <c r="H1861" t="s">
        <v>153</v>
      </c>
      <c r="I1861" t="s">
        <v>157</v>
      </c>
    </row>
    <row r="1862" spans="1:9">
      <c r="A1862" s="49">
        <v>45849</v>
      </c>
      <c r="B1862" s="50">
        <v>0.3420717592592593</v>
      </c>
      <c r="C1862" t="s">
        <v>150</v>
      </c>
      <c r="D1862" t="s">
        <v>36</v>
      </c>
      <c r="E1862" t="s">
        <v>342</v>
      </c>
      <c r="F1862" t="s">
        <v>533</v>
      </c>
      <c r="G1862">
        <v>-10000</v>
      </c>
      <c r="H1862" t="s">
        <v>153</v>
      </c>
      <c r="I1862" t="s">
        <v>64</v>
      </c>
    </row>
    <row r="1863" spans="1:9">
      <c r="A1863" s="49">
        <v>45849</v>
      </c>
      <c r="B1863" s="50">
        <v>0.01181712962962963</v>
      </c>
      <c r="C1863" t="s">
        <v>155</v>
      </c>
      <c r="D1863" t="s">
        <v>155</v>
      </c>
      <c r="E1863" t="s">
        <v>32</v>
      </c>
      <c r="F1863" t="s">
        <v>653</v>
      </c>
      <c r="G1863">
        <v>300000</v>
      </c>
      <c r="H1863" t="s">
        <v>153</v>
      </c>
      <c r="I1863" t="s">
        <v>64</v>
      </c>
    </row>
    <row r="1864" spans="1:9">
      <c r="A1864" s="49">
        <v>45848</v>
      </c>
      <c r="B1864" s="50">
        <v>0.7717013888888888</v>
      </c>
      <c r="C1864" t="s">
        <v>155</v>
      </c>
      <c r="D1864" t="s">
        <v>70</v>
      </c>
      <c r="E1864" t="s">
        <v>32</v>
      </c>
      <c r="F1864" t="s">
        <v>238</v>
      </c>
      <c r="G1864">
        <v>-28500</v>
      </c>
      <c r="H1864" t="s">
        <v>153</v>
      </c>
      <c r="I1864" t="s">
        <v>64</v>
      </c>
    </row>
    <row r="1865" spans="1:9">
      <c r="A1865" s="49">
        <v>45848</v>
      </c>
      <c r="B1865" s="50">
        <v>0.6521990740740741</v>
      </c>
      <c r="C1865" t="s">
        <v>155</v>
      </c>
      <c r="D1865" t="s">
        <v>155</v>
      </c>
      <c r="E1865" t="s">
        <v>32</v>
      </c>
      <c r="F1865" t="s">
        <v>156</v>
      </c>
      <c r="G1865">
        <v>3500</v>
      </c>
      <c r="H1865" t="s">
        <v>153</v>
      </c>
      <c r="I1865" t="s">
        <v>157</v>
      </c>
    </row>
    <row r="1866" spans="1:9">
      <c r="A1866" s="49">
        <v>45848</v>
      </c>
      <c r="B1866" s="50">
        <v>0.4935648148148148</v>
      </c>
      <c r="C1866" t="s">
        <v>167</v>
      </c>
      <c r="D1866" t="s">
        <v>28</v>
      </c>
      <c r="E1866" t="s">
        <v>32</v>
      </c>
      <c r="F1866" t="s">
        <v>243</v>
      </c>
      <c r="G1866">
        <v>2920</v>
      </c>
      <c r="H1866" t="s">
        <v>153</v>
      </c>
      <c r="I1866" t="s">
        <v>64</v>
      </c>
    </row>
    <row r="1867" spans="1:9">
      <c r="A1867" s="49">
        <v>45848</v>
      </c>
      <c r="B1867" s="50">
        <v>0.4865046296296296</v>
      </c>
      <c r="C1867" t="s">
        <v>155</v>
      </c>
      <c r="D1867" t="s">
        <v>155</v>
      </c>
      <c r="E1867" t="s">
        <v>32</v>
      </c>
      <c r="F1867" t="s">
        <v>590</v>
      </c>
      <c r="G1867">
        <v>499000</v>
      </c>
      <c r="H1867" t="s">
        <v>153</v>
      </c>
      <c r="I1867" t="s">
        <v>64</v>
      </c>
    </row>
    <row r="1868" spans="1:9">
      <c r="A1868" s="49">
        <v>45848</v>
      </c>
      <c r="B1868" s="50">
        <v>0.3480324074074074</v>
      </c>
      <c r="C1868" t="s">
        <v>150</v>
      </c>
      <c r="D1868" t="s">
        <v>42</v>
      </c>
      <c r="E1868" t="s">
        <v>374</v>
      </c>
      <c r="F1868" t="s">
        <v>375</v>
      </c>
      <c r="G1868">
        <v>-4300</v>
      </c>
      <c r="H1868" t="s">
        <v>153</v>
      </c>
      <c r="I1868" t="s">
        <v>214</v>
      </c>
    </row>
    <row r="1869" spans="1:9">
      <c r="A1869" s="49">
        <v>45847</v>
      </c>
      <c r="B1869" s="50">
        <v>0.9288541666666666</v>
      </c>
      <c r="C1869" t="s">
        <v>167</v>
      </c>
      <c r="D1869" t="s">
        <v>29</v>
      </c>
      <c r="E1869" t="s">
        <v>32</v>
      </c>
      <c r="F1869" t="s">
        <v>831</v>
      </c>
      <c r="G1869">
        <v>199900</v>
      </c>
      <c r="H1869" t="s">
        <v>153</v>
      </c>
      <c r="I1869" t="s">
        <v>64</v>
      </c>
    </row>
    <row r="1870" spans="1:9">
      <c r="A1870" s="49">
        <v>45847</v>
      </c>
      <c r="B1870" s="50">
        <v>0.9103125</v>
      </c>
      <c r="C1870" t="s">
        <v>150</v>
      </c>
      <c r="D1870" t="s">
        <v>36</v>
      </c>
      <c r="E1870" t="s">
        <v>377</v>
      </c>
      <c r="F1870" t="s">
        <v>687</v>
      </c>
      <c r="G1870">
        <v>-6188800</v>
      </c>
      <c r="H1870" t="s">
        <v>153</v>
      </c>
      <c r="I1870" t="s">
        <v>64</v>
      </c>
    </row>
    <row r="1871" spans="1:9">
      <c r="A1871" s="49">
        <v>45847</v>
      </c>
      <c r="B1871" s="50">
        <v>0.7785532407407407</v>
      </c>
      <c r="C1871" t="s">
        <v>150</v>
      </c>
      <c r="D1871" t="s">
        <v>36</v>
      </c>
      <c r="E1871" t="s">
        <v>191</v>
      </c>
      <c r="F1871" t="s">
        <v>192</v>
      </c>
      <c r="G1871">
        <v>-29500</v>
      </c>
      <c r="H1871" t="s">
        <v>153</v>
      </c>
      <c r="I1871" t="s">
        <v>157</v>
      </c>
    </row>
    <row r="1872" spans="1:9">
      <c r="A1872" s="49">
        <v>45847</v>
      </c>
      <c r="B1872" s="50">
        <v>0.7785416666666667</v>
      </c>
      <c r="C1872" t="s">
        <v>155</v>
      </c>
      <c r="D1872" t="s">
        <v>158</v>
      </c>
      <c r="E1872" t="s">
        <v>32</v>
      </c>
      <c r="F1872" t="s">
        <v>159</v>
      </c>
      <c r="G1872">
        <v>20702</v>
      </c>
      <c r="H1872" t="s">
        <v>153</v>
      </c>
      <c r="I1872" t="s">
        <v>157</v>
      </c>
    </row>
    <row r="1873" spans="1:9">
      <c r="A1873" s="49">
        <v>45847</v>
      </c>
      <c r="B1873" s="50">
        <v>0.7785416666666667</v>
      </c>
      <c r="C1873" t="s">
        <v>155</v>
      </c>
      <c r="D1873" t="s">
        <v>158</v>
      </c>
      <c r="E1873" t="s">
        <v>32</v>
      </c>
      <c r="F1873" t="s">
        <v>160</v>
      </c>
      <c r="G1873">
        <v>-20702</v>
      </c>
      <c r="H1873" t="s">
        <v>153</v>
      </c>
      <c r="I1873" t="s">
        <v>64</v>
      </c>
    </row>
    <row r="1874" spans="1:9">
      <c r="A1874" s="49">
        <v>45847</v>
      </c>
      <c r="B1874" s="50">
        <v>0.661087962962963</v>
      </c>
      <c r="C1874" t="s">
        <v>155</v>
      </c>
      <c r="D1874" t="s">
        <v>155</v>
      </c>
      <c r="E1874" t="s">
        <v>32</v>
      </c>
      <c r="F1874" t="s">
        <v>832</v>
      </c>
      <c r="G1874">
        <v>5000</v>
      </c>
      <c r="H1874" t="s">
        <v>153</v>
      </c>
      <c r="I1874" t="s">
        <v>64</v>
      </c>
    </row>
    <row r="1875" spans="1:9">
      <c r="A1875" s="49">
        <v>45847</v>
      </c>
      <c r="B1875" s="50">
        <v>0.6461342592592593</v>
      </c>
      <c r="C1875" t="s">
        <v>150</v>
      </c>
      <c r="D1875" t="s">
        <v>40</v>
      </c>
      <c r="E1875" t="s">
        <v>172</v>
      </c>
      <c r="F1875" t="s">
        <v>383</v>
      </c>
      <c r="G1875">
        <v>-6200</v>
      </c>
      <c r="H1875" t="s">
        <v>153</v>
      </c>
      <c r="I1875" t="s">
        <v>164</v>
      </c>
    </row>
    <row r="1876" spans="1:9">
      <c r="A1876" s="49">
        <v>45847</v>
      </c>
      <c r="B1876" s="50">
        <v>0.6461342592592593</v>
      </c>
      <c r="C1876" t="s">
        <v>155</v>
      </c>
      <c r="D1876" t="s">
        <v>158</v>
      </c>
      <c r="E1876" t="s">
        <v>32</v>
      </c>
      <c r="F1876" t="s">
        <v>159</v>
      </c>
      <c r="G1876">
        <v>10000</v>
      </c>
      <c r="H1876" t="s">
        <v>153</v>
      </c>
      <c r="I1876" t="s">
        <v>157</v>
      </c>
    </row>
    <row r="1877" spans="1:9">
      <c r="A1877" s="49">
        <v>45847</v>
      </c>
      <c r="B1877" s="50">
        <v>0.6461342592592593</v>
      </c>
      <c r="C1877" t="s">
        <v>155</v>
      </c>
      <c r="D1877" t="s">
        <v>158</v>
      </c>
      <c r="E1877" t="s">
        <v>32</v>
      </c>
      <c r="F1877" t="s">
        <v>160</v>
      </c>
      <c r="G1877">
        <v>-10000</v>
      </c>
      <c r="H1877" t="s">
        <v>153</v>
      </c>
      <c r="I1877" t="s">
        <v>64</v>
      </c>
    </row>
    <row r="1878" spans="1:9">
      <c r="A1878" s="49">
        <v>45846</v>
      </c>
      <c r="B1878" s="50">
        <v>0.7356365740740741</v>
      </c>
      <c r="C1878" t="s">
        <v>150</v>
      </c>
      <c r="D1878" t="s">
        <v>35</v>
      </c>
      <c r="E1878" t="s">
        <v>169</v>
      </c>
      <c r="F1878" t="s">
        <v>563</v>
      </c>
      <c r="G1878">
        <v>-2679</v>
      </c>
      <c r="H1878" t="s">
        <v>153</v>
      </c>
      <c r="I1878" t="s">
        <v>164</v>
      </c>
    </row>
    <row r="1879" spans="1:9">
      <c r="A1879" s="49">
        <v>45846</v>
      </c>
      <c r="B1879" s="50">
        <v>0.7288194444444445</v>
      </c>
      <c r="C1879" t="s">
        <v>150</v>
      </c>
      <c r="D1879" t="s">
        <v>48</v>
      </c>
      <c r="E1879" t="s">
        <v>196</v>
      </c>
      <c r="F1879" t="s">
        <v>833</v>
      </c>
      <c r="G1879">
        <v>-8500</v>
      </c>
      <c r="H1879" t="s">
        <v>153</v>
      </c>
      <c r="I1879" t="s">
        <v>214</v>
      </c>
    </row>
    <row r="1880" spans="1:9">
      <c r="A1880" s="49">
        <v>45846</v>
      </c>
      <c r="B1880" s="50">
        <v>0.7260648148148148</v>
      </c>
      <c r="C1880" t="s">
        <v>150</v>
      </c>
      <c r="D1880" t="s">
        <v>44</v>
      </c>
      <c r="E1880" t="s">
        <v>260</v>
      </c>
      <c r="F1880" t="s">
        <v>261</v>
      </c>
      <c r="G1880">
        <v>-100000</v>
      </c>
      <c r="H1880" t="s">
        <v>153</v>
      </c>
      <c r="I1880" t="s">
        <v>64</v>
      </c>
    </row>
    <row r="1881" spans="1:9">
      <c r="A1881" s="49">
        <v>45846</v>
      </c>
      <c r="B1881" s="50">
        <v>0.347349537037037</v>
      </c>
      <c r="C1881" t="s">
        <v>150</v>
      </c>
      <c r="D1881" t="s">
        <v>42</v>
      </c>
      <c r="E1881" t="s">
        <v>374</v>
      </c>
      <c r="F1881" t="s">
        <v>375</v>
      </c>
      <c r="G1881">
        <v>-4300</v>
      </c>
      <c r="H1881" t="s">
        <v>153</v>
      </c>
      <c r="I1881" t="s">
        <v>214</v>
      </c>
    </row>
    <row r="1882" spans="1:9">
      <c r="A1882" s="49">
        <v>45845</v>
      </c>
      <c r="B1882" s="50">
        <v>0.9191087962962963</v>
      </c>
      <c r="C1882" t="s">
        <v>155</v>
      </c>
      <c r="D1882" t="s">
        <v>241</v>
      </c>
      <c r="E1882" t="s">
        <v>32</v>
      </c>
      <c r="F1882" t="s">
        <v>688</v>
      </c>
      <c r="G1882">
        <v>9670000</v>
      </c>
      <c r="H1882" t="s">
        <v>153</v>
      </c>
      <c r="I1882" t="s">
        <v>64</v>
      </c>
    </row>
    <row r="1883" spans="1:9">
      <c r="A1883" s="49">
        <v>45845</v>
      </c>
      <c r="B1883" s="50">
        <v>0.8855787037037037</v>
      </c>
      <c r="C1883" t="s">
        <v>167</v>
      </c>
      <c r="D1883" t="s">
        <v>28</v>
      </c>
      <c r="E1883" t="s">
        <v>32</v>
      </c>
      <c r="F1883" t="s">
        <v>535</v>
      </c>
      <c r="G1883">
        <v>200000</v>
      </c>
      <c r="H1883" t="s">
        <v>153</v>
      </c>
      <c r="I1883" t="s">
        <v>64</v>
      </c>
    </row>
    <row r="1884" spans="1:9">
      <c r="A1884" s="49">
        <v>45845</v>
      </c>
      <c r="B1884" s="50">
        <v>0.8178703703703704</v>
      </c>
      <c r="C1884" t="s">
        <v>155</v>
      </c>
      <c r="D1884" t="s">
        <v>155</v>
      </c>
      <c r="E1884" t="s">
        <v>32</v>
      </c>
      <c r="F1884" t="s">
        <v>834</v>
      </c>
      <c r="G1884">
        <v>349000</v>
      </c>
      <c r="H1884" t="s">
        <v>153</v>
      </c>
      <c r="I1884" t="s">
        <v>64</v>
      </c>
    </row>
    <row r="1885" spans="1:9">
      <c r="A1885" s="49">
        <v>45845</v>
      </c>
      <c r="B1885" s="50">
        <v>0.7910648148148148</v>
      </c>
      <c r="C1885" t="s">
        <v>150</v>
      </c>
      <c r="D1885" t="s">
        <v>45</v>
      </c>
      <c r="E1885" t="s">
        <v>468</v>
      </c>
      <c r="F1885" t="s">
        <v>501</v>
      </c>
      <c r="G1885">
        <v>-207000</v>
      </c>
      <c r="H1885" t="s">
        <v>153</v>
      </c>
      <c r="I1885" t="s">
        <v>214</v>
      </c>
    </row>
    <row r="1886" spans="1:9">
      <c r="A1886" s="49">
        <v>45845</v>
      </c>
      <c r="B1886" s="50">
        <v>0.790787037037037</v>
      </c>
      <c r="C1886" t="s">
        <v>150</v>
      </c>
      <c r="D1886" t="s">
        <v>35</v>
      </c>
      <c r="E1886" t="s">
        <v>174</v>
      </c>
      <c r="F1886" t="s">
        <v>314</v>
      </c>
      <c r="G1886">
        <v>-10000</v>
      </c>
      <c r="H1886" t="s">
        <v>153</v>
      </c>
      <c r="I1886" t="s">
        <v>64</v>
      </c>
    </row>
    <row r="1887" spans="1:9">
      <c r="A1887" s="49">
        <v>45845</v>
      </c>
      <c r="B1887" s="50">
        <v>0.7884722222222222</v>
      </c>
      <c r="C1887" t="s">
        <v>150</v>
      </c>
      <c r="D1887" t="s">
        <v>39</v>
      </c>
      <c r="E1887" t="s">
        <v>621</v>
      </c>
      <c r="F1887" t="s">
        <v>622</v>
      </c>
      <c r="G1887">
        <v>-12000</v>
      </c>
      <c r="H1887" t="s">
        <v>153</v>
      </c>
      <c r="I1887" t="s">
        <v>214</v>
      </c>
    </row>
    <row r="1888" spans="1:9">
      <c r="A1888" s="49">
        <v>45845</v>
      </c>
      <c r="B1888" s="50">
        <v>0.7805208333333333</v>
      </c>
      <c r="C1888" t="s">
        <v>150</v>
      </c>
      <c r="D1888" t="s">
        <v>45</v>
      </c>
      <c r="E1888" t="s">
        <v>503</v>
      </c>
      <c r="F1888" t="s">
        <v>504</v>
      </c>
      <c r="G1888">
        <v>-60000</v>
      </c>
      <c r="H1888" t="s">
        <v>153</v>
      </c>
      <c r="I1888" t="s">
        <v>214</v>
      </c>
    </row>
    <row r="1889" spans="1:9">
      <c r="A1889" s="49">
        <v>45845</v>
      </c>
      <c r="B1889" s="50">
        <v>0.7564120370370371</v>
      </c>
      <c r="C1889" t="s">
        <v>155</v>
      </c>
      <c r="D1889" t="s">
        <v>155</v>
      </c>
      <c r="E1889" t="s">
        <v>32</v>
      </c>
      <c r="F1889" t="s">
        <v>246</v>
      </c>
      <c r="G1889">
        <v>-19800</v>
      </c>
      <c r="H1889" t="s">
        <v>153</v>
      </c>
      <c r="I1889" t="s">
        <v>64</v>
      </c>
    </row>
    <row r="1890" spans="1:9">
      <c r="A1890" s="49">
        <v>45845</v>
      </c>
      <c r="B1890" s="50">
        <v>0.5315046296296296</v>
      </c>
      <c r="C1890" t="s">
        <v>155</v>
      </c>
      <c r="D1890" t="s">
        <v>155</v>
      </c>
      <c r="E1890" t="s">
        <v>32</v>
      </c>
      <c r="F1890" t="s">
        <v>835</v>
      </c>
      <c r="G1890">
        <v>-9000</v>
      </c>
      <c r="H1890" t="s">
        <v>153</v>
      </c>
      <c r="I1890" t="s">
        <v>64</v>
      </c>
    </row>
    <row r="1891" spans="1:9">
      <c r="A1891" s="49">
        <v>45845</v>
      </c>
      <c r="B1891" s="50">
        <v>0.5144675925925926</v>
      </c>
      <c r="C1891" t="s">
        <v>150</v>
      </c>
      <c r="D1891" t="s">
        <v>42</v>
      </c>
      <c r="E1891" t="s">
        <v>593</v>
      </c>
      <c r="F1891" t="s">
        <v>836</v>
      </c>
      <c r="G1891">
        <v>-10350</v>
      </c>
      <c r="H1891" t="s">
        <v>153</v>
      </c>
      <c r="I1891" t="s">
        <v>214</v>
      </c>
    </row>
    <row r="1892" spans="1:9">
      <c r="A1892" s="49">
        <v>45845</v>
      </c>
      <c r="B1892" s="50">
        <v>0.4893981481481481</v>
      </c>
      <c r="C1892" t="s">
        <v>150</v>
      </c>
      <c r="D1892" t="s">
        <v>44</v>
      </c>
      <c r="E1892" t="s">
        <v>315</v>
      </c>
      <c r="F1892" t="s">
        <v>316</v>
      </c>
      <c r="G1892">
        <v>-2500</v>
      </c>
      <c r="H1892" t="s">
        <v>153</v>
      </c>
      <c r="I1892" t="s">
        <v>164</v>
      </c>
    </row>
    <row r="1893" spans="1:9">
      <c r="A1893" s="49">
        <v>45845</v>
      </c>
      <c r="B1893" s="50">
        <v>0.4893981481481481</v>
      </c>
      <c r="C1893" t="s">
        <v>155</v>
      </c>
      <c r="D1893" t="s">
        <v>158</v>
      </c>
      <c r="E1893" t="s">
        <v>32</v>
      </c>
      <c r="F1893" t="s">
        <v>159</v>
      </c>
      <c r="G1893">
        <v>10000</v>
      </c>
      <c r="H1893" t="s">
        <v>153</v>
      </c>
      <c r="I1893" t="s">
        <v>157</v>
      </c>
    </row>
    <row r="1894" spans="1:9">
      <c r="A1894" s="49">
        <v>45845</v>
      </c>
      <c r="B1894" s="50">
        <v>0.4893981481481481</v>
      </c>
      <c r="C1894" t="s">
        <v>155</v>
      </c>
      <c r="D1894" t="s">
        <v>158</v>
      </c>
      <c r="E1894" t="s">
        <v>32</v>
      </c>
      <c r="F1894" t="s">
        <v>160</v>
      </c>
      <c r="G1894">
        <v>-10000</v>
      </c>
      <c r="H1894" t="s">
        <v>153</v>
      </c>
      <c r="I1894" t="s">
        <v>64</v>
      </c>
    </row>
    <row r="1895" spans="1:9">
      <c r="A1895" s="49">
        <v>45845</v>
      </c>
      <c r="B1895" s="50">
        <v>0.3389930555555555</v>
      </c>
      <c r="C1895" t="s">
        <v>150</v>
      </c>
      <c r="D1895" t="s">
        <v>42</v>
      </c>
      <c r="E1895" t="s">
        <v>374</v>
      </c>
      <c r="F1895" t="s">
        <v>375</v>
      </c>
      <c r="G1895">
        <v>-4000</v>
      </c>
      <c r="H1895" t="s">
        <v>153</v>
      </c>
      <c r="I1895" t="s">
        <v>214</v>
      </c>
    </row>
    <row r="1896" spans="1:9">
      <c r="A1896" s="49">
        <v>45845</v>
      </c>
      <c r="B1896" s="50">
        <v>0.2553356481481481</v>
      </c>
      <c r="C1896" t="s">
        <v>167</v>
      </c>
      <c r="D1896" t="s">
        <v>30</v>
      </c>
      <c r="E1896" t="s">
        <v>32</v>
      </c>
      <c r="F1896" t="s">
        <v>837</v>
      </c>
      <c r="G1896">
        <v>27000</v>
      </c>
      <c r="H1896" t="s">
        <v>153</v>
      </c>
      <c r="I1896" t="s">
        <v>64</v>
      </c>
    </row>
    <row r="1897" spans="1:9">
      <c r="A1897" s="49">
        <v>45844</v>
      </c>
      <c r="B1897" s="50">
        <v>0.9905555555555555</v>
      </c>
      <c r="C1897" t="s">
        <v>150</v>
      </c>
      <c r="D1897" t="s">
        <v>36</v>
      </c>
      <c r="E1897" t="s">
        <v>191</v>
      </c>
      <c r="F1897" t="s">
        <v>192</v>
      </c>
      <c r="G1897">
        <v>-300000</v>
      </c>
      <c r="H1897" t="s">
        <v>153</v>
      </c>
      <c r="I1897" t="s">
        <v>157</v>
      </c>
    </row>
    <row r="1898" spans="1:9">
      <c r="A1898" s="49">
        <v>45844</v>
      </c>
      <c r="B1898" s="50">
        <v>0.9905555555555555</v>
      </c>
      <c r="C1898" t="s">
        <v>155</v>
      </c>
      <c r="D1898" t="s">
        <v>158</v>
      </c>
      <c r="E1898" t="s">
        <v>32</v>
      </c>
      <c r="F1898" t="s">
        <v>160</v>
      </c>
      <c r="G1898">
        <v>-288368</v>
      </c>
      <c r="H1898" t="s">
        <v>153</v>
      </c>
      <c r="I1898" t="s">
        <v>64</v>
      </c>
    </row>
    <row r="1899" spans="1:9">
      <c r="A1899" s="49">
        <v>45844</v>
      </c>
      <c r="B1899" s="50">
        <v>0.9905439814814815</v>
      </c>
      <c r="C1899" t="s">
        <v>155</v>
      </c>
      <c r="D1899" t="s">
        <v>158</v>
      </c>
      <c r="E1899" t="s">
        <v>32</v>
      </c>
      <c r="F1899" t="s">
        <v>159</v>
      </c>
      <c r="G1899">
        <v>288368</v>
      </c>
      <c r="H1899" t="s">
        <v>153</v>
      </c>
      <c r="I1899" t="s">
        <v>157</v>
      </c>
    </row>
    <row r="1900" spans="1:9">
      <c r="A1900" s="49">
        <v>45844</v>
      </c>
      <c r="B1900" s="50">
        <v>0.9902199074074074</v>
      </c>
      <c r="C1900" t="s">
        <v>167</v>
      </c>
      <c r="D1900" t="s">
        <v>28</v>
      </c>
      <c r="E1900" t="s">
        <v>32</v>
      </c>
      <c r="F1900" t="s">
        <v>838</v>
      </c>
      <c r="G1900">
        <v>1</v>
      </c>
      <c r="H1900" t="s">
        <v>153</v>
      </c>
      <c r="I1900" t="s">
        <v>64</v>
      </c>
    </row>
    <row r="1901" spans="1:9">
      <c r="A1901" s="49">
        <v>45844</v>
      </c>
      <c r="B1901" s="50">
        <v>0.9896064814814814</v>
      </c>
      <c r="C1901" t="s">
        <v>167</v>
      </c>
      <c r="D1901" t="s">
        <v>28</v>
      </c>
      <c r="E1901" t="s">
        <v>32</v>
      </c>
      <c r="F1901" t="s">
        <v>839</v>
      </c>
      <c r="G1901">
        <v>1</v>
      </c>
      <c r="H1901" t="s">
        <v>153</v>
      </c>
      <c r="I1901" t="s">
        <v>64</v>
      </c>
    </row>
    <row r="1902" spans="1:9">
      <c r="A1902" s="49">
        <v>45844</v>
      </c>
      <c r="B1902" s="50">
        <v>0.8855092592592593</v>
      </c>
      <c r="C1902" t="s">
        <v>155</v>
      </c>
      <c r="D1902" t="s">
        <v>155</v>
      </c>
      <c r="E1902" t="s">
        <v>32</v>
      </c>
      <c r="F1902" t="s">
        <v>246</v>
      </c>
      <c r="G1902">
        <v>-9900</v>
      </c>
      <c r="H1902" t="s">
        <v>153</v>
      </c>
      <c r="I1902" t="s">
        <v>64</v>
      </c>
    </row>
    <row r="1903" spans="1:9">
      <c r="A1903" s="49">
        <v>45844</v>
      </c>
      <c r="B1903" s="50">
        <v>0.8418055555555556</v>
      </c>
      <c r="C1903" t="s">
        <v>150</v>
      </c>
      <c r="D1903" t="s">
        <v>42</v>
      </c>
      <c r="E1903" t="s">
        <v>151</v>
      </c>
      <c r="F1903" t="s">
        <v>152</v>
      </c>
      <c r="G1903">
        <v>-23380</v>
      </c>
      <c r="H1903" t="s">
        <v>153</v>
      </c>
      <c r="I1903" t="s">
        <v>64</v>
      </c>
    </row>
    <row r="1904" spans="1:9">
      <c r="A1904" s="49">
        <v>45844</v>
      </c>
      <c r="B1904" s="50">
        <v>0.8344791666666667</v>
      </c>
      <c r="C1904" t="s">
        <v>150</v>
      </c>
      <c r="D1904" t="s">
        <v>44</v>
      </c>
      <c r="E1904" t="s">
        <v>260</v>
      </c>
      <c r="F1904" t="s">
        <v>261</v>
      </c>
      <c r="G1904">
        <v>-20000</v>
      </c>
      <c r="H1904" t="s">
        <v>153</v>
      </c>
      <c r="I1904" t="s">
        <v>64</v>
      </c>
    </row>
    <row r="1905" spans="1:9">
      <c r="A1905" s="49">
        <v>45844</v>
      </c>
      <c r="B1905" s="50">
        <v>0.8338194444444444</v>
      </c>
      <c r="C1905" t="s">
        <v>150</v>
      </c>
      <c r="D1905" t="s">
        <v>44</v>
      </c>
      <c r="E1905" t="s">
        <v>260</v>
      </c>
      <c r="F1905" t="s">
        <v>261</v>
      </c>
      <c r="G1905">
        <v>-20000</v>
      </c>
      <c r="H1905" t="s">
        <v>153</v>
      </c>
      <c r="I1905" t="s">
        <v>64</v>
      </c>
    </row>
    <row r="1906" spans="1:9">
      <c r="A1906" s="49">
        <v>45844</v>
      </c>
      <c r="B1906" s="50">
        <v>0.7308680555555556</v>
      </c>
      <c r="C1906" t="s">
        <v>155</v>
      </c>
      <c r="D1906" t="s">
        <v>155</v>
      </c>
      <c r="E1906" t="s">
        <v>32</v>
      </c>
      <c r="F1906" t="s">
        <v>840</v>
      </c>
      <c r="G1906">
        <v>499000</v>
      </c>
      <c r="H1906" t="s">
        <v>153</v>
      </c>
      <c r="I1906" t="s">
        <v>64</v>
      </c>
    </row>
    <row r="1907" spans="1:9">
      <c r="A1907" s="49">
        <v>45844</v>
      </c>
      <c r="B1907" s="50">
        <v>0.6706944444444445</v>
      </c>
      <c r="C1907" t="s">
        <v>155</v>
      </c>
      <c r="D1907" t="s">
        <v>155</v>
      </c>
      <c r="E1907" t="s">
        <v>32</v>
      </c>
      <c r="F1907" t="s">
        <v>246</v>
      </c>
      <c r="G1907">
        <v>-259000</v>
      </c>
      <c r="H1907" t="s">
        <v>153</v>
      </c>
      <c r="I1907" t="s">
        <v>64</v>
      </c>
    </row>
    <row r="1908" spans="1:9">
      <c r="A1908" s="49">
        <v>45844</v>
      </c>
      <c r="B1908" s="50">
        <v>0.6302546296296296</v>
      </c>
      <c r="C1908" t="s">
        <v>155</v>
      </c>
      <c r="D1908" t="s">
        <v>155</v>
      </c>
      <c r="E1908" t="s">
        <v>32</v>
      </c>
      <c r="F1908" t="s">
        <v>246</v>
      </c>
      <c r="G1908">
        <v>-189420</v>
      </c>
      <c r="H1908" t="s">
        <v>153</v>
      </c>
      <c r="I1908" t="s">
        <v>64</v>
      </c>
    </row>
    <row r="1909" spans="1:9">
      <c r="A1909" s="49">
        <v>45844</v>
      </c>
      <c r="B1909" s="50">
        <v>0.5971875</v>
      </c>
      <c r="C1909" t="s">
        <v>155</v>
      </c>
      <c r="D1909" t="s">
        <v>155</v>
      </c>
      <c r="E1909" t="s">
        <v>32</v>
      </c>
      <c r="F1909" t="s">
        <v>246</v>
      </c>
      <c r="G1909">
        <v>-9780</v>
      </c>
      <c r="H1909" t="s">
        <v>153</v>
      </c>
      <c r="I1909" t="s">
        <v>64</v>
      </c>
    </row>
    <row r="1910" spans="1:9">
      <c r="A1910" s="49">
        <v>45844</v>
      </c>
      <c r="B1910" s="50">
        <v>0.5390972222222222</v>
      </c>
      <c r="C1910" t="s">
        <v>155</v>
      </c>
      <c r="D1910" t="s">
        <v>155</v>
      </c>
      <c r="E1910" t="s">
        <v>32</v>
      </c>
      <c r="F1910" t="s">
        <v>246</v>
      </c>
      <c r="G1910">
        <v>-1960</v>
      </c>
      <c r="H1910" t="s">
        <v>153</v>
      </c>
      <c r="I1910" t="s">
        <v>64</v>
      </c>
    </row>
    <row r="1911" spans="1:9">
      <c r="A1911" s="49">
        <v>45844</v>
      </c>
      <c r="B1911" s="50">
        <v>0.5224305555555555</v>
      </c>
      <c r="C1911" t="s">
        <v>155</v>
      </c>
      <c r="D1911" t="s">
        <v>155</v>
      </c>
      <c r="E1911" t="s">
        <v>32</v>
      </c>
      <c r="F1911" t="s">
        <v>841</v>
      </c>
      <c r="G1911">
        <v>-5000</v>
      </c>
      <c r="H1911" t="s">
        <v>153</v>
      </c>
      <c r="I1911" t="s">
        <v>64</v>
      </c>
    </row>
    <row r="1912" spans="1:9">
      <c r="A1912" s="49">
        <v>45844</v>
      </c>
      <c r="B1912" s="50">
        <v>0.4521180555555556</v>
      </c>
      <c r="C1912" t="s">
        <v>155</v>
      </c>
      <c r="D1912" t="s">
        <v>155</v>
      </c>
      <c r="E1912" t="s">
        <v>32</v>
      </c>
      <c r="F1912" t="s">
        <v>246</v>
      </c>
      <c r="G1912">
        <v>-37800</v>
      </c>
      <c r="H1912" t="s">
        <v>153</v>
      </c>
      <c r="I1912" t="s">
        <v>64</v>
      </c>
    </row>
    <row r="1913" spans="1:9">
      <c r="A1913" s="49">
        <v>45844</v>
      </c>
      <c r="B1913" s="50">
        <v>0.4505092592592593</v>
      </c>
      <c r="C1913" t="s">
        <v>155</v>
      </c>
      <c r="D1913" t="s">
        <v>155</v>
      </c>
      <c r="E1913" t="s">
        <v>32</v>
      </c>
      <c r="F1913" t="s">
        <v>246</v>
      </c>
      <c r="G1913">
        <v>-12280</v>
      </c>
      <c r="H1913" t="s">
        <v>153</v>
      </c>
      <c r="I1913" t="s">
        <v>64</v>
      </c>
    </row>
    <row r="1914" spans="1:9">
      <c r="A1914" s="49">
        <v>45844</v>
      </c>
      <c r="B1914" s="50">
        <v>0.4333449074074074</v>
      </c>
      <c r="C1914" t="s">
        <v>150</v>
      </c>
      <c r="D1914" t="s">
        <v>37</v>
      </c>
      <c r="E1914" t="s">
        <v>201</v>
      </c>
      <c r="F1914" t="s">
        <v>842</v>
      </c>
      <c r="G1914">
        <v>-183419</v>
      </c>
      <c r="H1914" t="s">
        <v>153</v>
      </c>
      <c r="I1914" t="s">
        <v>214</v>
      </c>
    </row>
    <row r="1915" spans="1:9">
      <c r="A1915" s="49">
        <v>45844</v>
      </c>
      <c r="B1915" s="50">
        <v>0.4027777777777778</v>
      </c>
      <c r="C1915" t="s">
        <v>155</v>
      </c>
      <c r="D1915" t="s">
        <v>155</v>
      </c>
      <c r="E1915" t="s">
        <v>32</v>
      </c>
      <c r="F1915" t="s">
        <v>246</v>
      </c>
      <c r="G1915">
        <v>8590</v>
      </c>
      <c r="H1915" t="s">
        <v>153</v>
      </c>
      <c r="I1915" t="s">
        <v>64</v>
      </c>
    </row>
    <row r="1916" spans="1:9">
      <c r="A1916" s="49">
        <v>45844</v>
      </c>
      <c r="B1916" s="50">
        <v>0.4003356481481481</v>
      </c>
      <c r="C1916" t="s">
        <v>155</v>
      </c>
      <c r="D1916" t="s">
        <v>155</v>
      </c>
      <c r="E1916" t="s">
        <v>32</v>
      </c>
      <c r="F1916" t="s">
        <v>246</v>
      </c>
      <c r="G1916">
        <v>64960</v>
      </c>
      <c r="H1916" t="s">
        <v>153</v>
      </c>
      <c r="I1916" t="s">
        <v>64</v>
      </c>
    </row>
    <row r="1917" spans="1:9">
      <c r="A1917" s="49">
        <v>45844</v>
      </c>
      <c r="B1917" s="50">
        <v>0.3995486111111111</v>
      </c>
      <c r="C1917" t="s">
        <v>155</v>
      </c>
      <c r="D1917" t="s">
        <v>155</v>
      </c>
      <c r="E1917" t="s">
        <v>32</v>
      </c>
      <c r="F1917" t="s">
        <v>246</v>
      </c>
      <c r="G1917">
        <v>41800</v>
      </c>
      <c r="H1917" t="s">
        <v>153</v>
      </c>
      <c r="I1917" t="s">
        <v>64</v>
      </c>
    </row>
    <row r="1918" spans="1:9">
      <c r="A1918" s="49">
        <v>45844</v>
      </c>
      <c r="B1918" s="50">
        <v>0.3695833333333333</v>
      </c>
      <c r="C1918" t="s">
        <v>155</v>
      </c>
      <c r="D1918" t="s">
        <v>155</v>
      </c>
      <c r="E1918" t="s">
        <v>32</v>
      </c>
      <c r="F1918" t="s">
        <v>246</v>
      </c>
      <c r="G1918">
        <v>-115350</v>
      </c>
      <c r="H1918" t="s">
        <v>153</v>
      </c>
      <c r="I1918" t="s">
        <v>64</v>
      </c>
    </row>
    <row r="1919" spans="1:9">
      <c r="A1919" s="49">
        <v>45843</v>
      </c>
      <c r="B1919" s="50">
        <v>0.5805439814814815</v>
      </c>
      <c r="C1919" t="s">
        <v>150</v>
      </c>
      <c r="D1919" t="s">
        <v>44</v>
      </c>
      <c r="E1919" t="s">
        <v>162</v>
      </c>
      <c r="F1919" t="s">
        <v>163</v>
      </c>
      <c r="G1919">
        <v>-1900</v>
      </c>
      <c r="H1919" t="s">
        <v>153</v>
      </c>
      <c r="I1919" t="s">
        <v>164</v>
      </c>
    </row>
    <row r="1920" spans="1:9">
      <c r="A1920" s="49">
        <v>45843</v>
      </c>
      <c r="B1920" s="50">
        <v>0.2543865740740741</v>
      </c>
      <c r="C1920" t="s">
        <v>150</v>
      </c>
      <c r="D1920" t="s">
        <v>35</v>
      </c>
      <c r="E1920" t="s">
        <v>482</v>
      </c>
      <c r="F1920" t="s">
        <v>843</v>
      </c>
      <c r="G1920">
        <v>-16000</v>
      </c>
      <c r="H1920" t="s">
        <v>153</v>
      </c>
      <c r="I1920" t="s">
        <v>214</v>
      </c>
    </row>
    <row r="1921" spans="1:9">
      <c r="A1921" s="49">
        <v>45843</v>
      </c>
      <c r="B1921" s="50">
        <v>0.2543865740740741</v>
      </c>
      <c r="C1921" t="s">
        <v>150</v>
      </c>
      <c r="D1921" t="s">
        <v>35</v>
      </c>
      <c r="E1921" t="s">
        <v>169</v>
      </c>
      <c r="F1921" t="s">
        <v>844</v>
      </c>
      <c r="G1921">
        <v>-12500</v>
      </c>
      <c r="H1921" t="s">
        <v>153</v>
      </c>
      <c r="I1921" t="s">
        <v>214</v>
      </c>
    </row>
    <row r="1922" spans="1:9">
      <c r="A1922" s="49">
        <v>45842</v>
      </c>
      <c r="B1922" s="50">
        <v>0.4393518518518518</v>
      </c>
      <c r="C1922" t="s">
        <v>150</v>
      </c>
      <c r="D1922" t="s">
        <v>44</v>
      </c>
      <c r="E1922" t="s">
        <v>225</v>
      </c>
      <c r="F1922" t="s">
        <v>372</v>
      </c>
      <c r="G1922">
        <v>-7890</v>
      </c>
      <c r="H1922" t="s">
        <v>153</v>
      </c>
      <c r="I1922" t="s">
        <v>64</v>
      </c>
    </row>
    <row r="1923" spans="1:9">
      <c r="A1923" s="49">
        <v>45842</v>
      </c>
      <c r="B1923" s="50">
        <v>0.2917013888888889</v>
      </c>
      <c r="C1923" t="s">
        <v>167</v>
      </c>
      <c r="D1923" t="s">
        <v>29</v>
      </c>
      <c r="E1923" t="s">
        <v>32</v>
      </c>
      <c r="F1923" t="s">
        <v>845</v>
      </c>
      <c r="G1923">
        <v>29370</v>
      </c>
      <c r="H1923" t="s">
        <v>153</v>
      </c>
      <c r="I1923" t="s">
        <v>64</v>
      </c>
    </row>
    <row r="1924" spans="1:9">
      <c r="A1924" s="49">
        <v>45842</v>
      </c>
      <c r="B1924" s="50">
        <v>0</v>
      </c>
      <c r="C1924" t="s">
        <v>150</v>
      </c>
      <c r="D1924" t="s">
        <v>44</v>
      </c>
      <c r="E1924" t="s">
        <v>225</v>
      </c>
      <c r="F1924" t="s">
        <v>845</v>
      </c>
      <c r="G1924">
        <v>29298</v>
      </c>
      <c r="H1924" t="s">
        <v>153</v>
      </c>
      <c r="I1924" t="s">
        <v>214</v>
      </c>
    </row>
    <row r="1925" spans="1:9">
      <c r="A1925" s="49">
        <v>45841</v>
      </c>
      <c r="B1925" s="50">
        <v>0.8234375</v>
      </c>
      <c r="C1925" t="s">
        <v>150</v>
      </c>
      <c r="D1925" t="s">
        <v>36</v>
      </c>
      <c r="E1925" t="s">
        <v>191</v>
      </c>
      <c r="F1925" t="s">
        <v>192</v>
      </c>
      <c r="G1925">
        <v>-104000</v>
      </c>
      <c r="H1925" t="s">
        <v>153</v>
      </c>
      <c r="I1925" t="s">
        <v>157</v>
      </c>
    </row>
    <row r="1926" spans="1:9">
      <c r="A1926" s="49">
        <v>45841</v>
      </c>
      <c r="B1926" s="50">
        <v>0.8182870370370371</v>
      </c>
      <c r="C1926" t="s">
        <v>155</v>
      </c>
      <c r="D1926" t="s">
        <v>241</v>
      </c>
      <c r="E1926" t="s">
        <v>32</v>
      </c>
      <c r="F1926" t="s">
        <v>688</v>
      </c>
      <c r="G1926">
        <v>3850000</v>
      </c>
      <c r="H1926" t="s">
        <v>153</v>
      </c>
      <c r="I1926" t="s">
        <v>64</v>
      </c>
    </row>
    <row r="1927" spans="1:9">
      <c r="A1927" s="49">
        <v>45840</v>
      </c>
      <c r="B1927" s="50">
        <v>0.6173842592592592</v>
      </c>
      <c r="C1927" t="s">
        <v>155</v>
      </c>
      <c r="D1927" t="s">
        <v>155</v>
      </c>
      <c r="E1927" t="s">
        <v>32</v>
      </c>
      <c r="F1927" t="s">
        <v>846</v>
      </c>
      <c r="G1927">
        <v>-1934000</v>
      </c>
      <c r="H1927" t="s">
        <v>153</v>
      </c>
      <c r="I1927" t="s">
        <v>64</v>
      </c>
    </row>
    <row r="1928" spans="1:9">
      <c r="A1928" s="49">
        <v>45840</v>
      </c>
      <c r="B1928" s="50">
        <v>0.4817824074074074</v>
      </c>
      <c r="C1928" t="s">
        <v>150</v>
      </c>
      <c r="D1928" t="s">
        <v>35</v>
      </c>
      <c r="E1928" t="s">
        <v>169</v>
      </c>
      <c r="F1928" t="s">
        <v>170</v>
      </c>
      <c r="G1928">
        <v>-4900</v>
      </c>
      <c r="H1928" t="s">
        <v>153</v>
      </c>
      <c r="I1928" t="s">
        <v>171</v>
      </c>
    </row>
    <row r="1929" spans="1:9">
      <c r="A1929" s="49">
        <v>45839</v>
      </c>
      <c r="B1929" s="50">
        <v>0.9255439814814815</v>
      </c>
      <c r="C1929" t="s">
        <v>167</v>
      </c>
      <c r="D1929" t="s">
        <v>31</v>
      </c>
      <c r="E1929" t="s">
        <v>32</v>
      </c>
      <c r="F1929" t="s">
        <v>168</v>
      </c>
      <c r="G1929">
        <v>3000</v>
      </c>
      <c r="H1929" t="s">
        <v>153</v>
      </c>
      <c r="I1929" t="s">
        <v>64</v>
      </c>
    </row>
    <row r="1930" spans="1:9">
      <c r="A1930" s="49">
        <v>45839</v>
      </c>
      <c r="B1930" s="50">
        <v>0.9255324074074074</v>
      </c>
      <c r="C1930" t="s">
        <v>150</v>
      </c>
      <c r="D1930" t="s">
        <v>35</v>
      </c>
      <c r="E1930" t="s">
        <v>169</v>
      </c>
      <c r="F1930" t="s">
        <v>170</v>
      </c>
      <c r="G1930">
        <v>-540</v>
      </c>
      <c r="H1930" t="s">
        <v>153</v>
      </c>
      <c r="I1930" t="s">
        <v>171</v>
      </c>
    </row>
    <row r="1931" spans="1:9">
      <c r="A1931" s="49">
        <v>45839</v>
      </c>
      <c r="B1931" s="50">
        <v>0.9245023148148148</v>
      </c>
      <c r="C1931" t="s">
        <v>150</v>
      </c>
      <c r="D1931" t="s">
        <v>35</v>
      </c>
      <c r="E1931" t="s">
        <v>169</v>
      </c>
      <c r="F1931" t="s">
        <v>170</v>
      </c>
      <c r="G1931">
        <v>3000</v>
      </c>
      <c r="H1931" t="s">
        <v>153</v>
      </c>
      <c r="I1931" t="s">
        <v>171</v>
      </c>
    </row>
    <row r="1932" spans="1:9">
      <c r="A1932" s="49">
        <v>45839</v>
      </c>
      <c r="B1932" s="50">
        <v>0.9245023148148148</v>
      </c>
      <c r="C1932" t="s">
        <v>150</v>
      </c>
      <c r="D1932" t="s">
        <v>40</v>
      </c>
      <c r="E1932" t="s">
        <v>172</v>
      </c>
      <c r="F1932" t="s">
        <v>173</v>
      </c>
      <c r="G1932">
        <v>-3000</v>
      </c>
      <c r="H1932" t="s">
        <v>153</v>
      </c>
      <c r="I1932" t="s">
        <v>64</v>
      </c>
    </row>
    <row r="1933" spans="1:9">
      <c r="A1933" s="49">
        <v>45839</v>
      </c>
      <c r="B1933" s="50">
        <v>0.9030324074074074</v>
      </c>
      <c r="C1933" t="s">
        <v>155</v>
      </c>
      <c r="D1933" t="s">
        <v>158</v>
      </c>
      <c r="E1933" t="s">
        <v>32</v>
      </c>
      <c r="F1933" t="s">
        <v>159</v>
      </c>
      <c r="G1933">
        <v>970500</v>
      </c>
      <c r="H1933" t="s">
        <v>153</v>
      </c>
      <c r="I1933" t="s">
        <v>157</v>
      </c>
    </row>
    <row r="1934" spans="1:9">
      <c r="A1934" s="49">
        <v>45839</v>
      </c>
      <c r="B1934" s="50">
        <v>0.9030324074074074</v>
      </c>
      <c r="C1934" t="s">
        <v>155</v>
      </c>
      <c r="D1934" t="s">
        <v>158</v>
      </c>
      <c r="E1934" t="s">
        <v>32</v>
      </c>
      <c r="F1934" t="s">
        <v>160</v>
      </c>
      <c r="G1934">
        <v>-970500</v>
      </c>
      <c r="H1934" t="s">
        <v>153</v>
      </c>
      <c r="I1934" t="s">
        <v>64</v>
      </c>
    </row>
    <row r="1935" spans="1:9">
      <c r="A1935" s="49">
        <v>45839</v>
      </c>
      <c r="B1935" s="50">
        <v>0.9030208333333334</v>
      </c>
      <c r="C1935" t="s">
        <v>155</v>
      </c>
      <c r="D1935" t="s">
        <v>158</v>
      </c>
      <c r="E1935" t="s">
        <v>32</v>
      </c>
      <c r="F1935" t="s">
        <v>159</v>
      </c>
      <c r="G1935">
        <v>2000000</v>
      </c>
      <c r="H1935" t="s">
        <v>153</v>
      </c>
      <c r="I1935" t="s">
        <v>157</v>
      </c>
    </row>
    <row r="1936" spans="1:9">
      <c r="A1936" s="49">
        <v>45839</v>
      </c>
      <c r="B1936" s="50">
        <v>0.9030208333333334</v>
      </c>
      <c r="C1936" t="s">
        <v>155</v>
      </c>
      <c r="D1936" t="s">
        <v>158</v>
      </c>
      <c r="E1936" t="s">
        <v>32</v>
      </c>
      <c r="F1936" t="s">
        <v>160</v>
      </c>
      <c r="G1936">
        <v>-2000000</v>
      </c>
      <c r="H1936" t="s">
        <v>153</v>
      </c>
      <c r="I1936" t="s">
        <v>64</v>
      </c>
    </row>
    <row r="1937" spans="1:9">
      <c r="A1937" s="49">
        <v>45839</v>
      </c>
      <c r="B1937" s="50">
        <v>0.8644328703703704</v>
      </c>
      <c r="C1937" t="s">
        <v>150</v>
      </c>
      <c r="D1937" t="s">
        <v>42</v>
      </c>
      <c r="E1937" t="s">
        <v>177</v>
      </c>
      <c r="F1937" t="s">
        <v>520</v>
      </c>
      <c r="G1937">
        <v>-67000</v>
      </c>
      <c r="H1937" t="s">
        <v>153</v>
      </c>
      <c r="I1937" t="s">
        <v>214</v>
      </c>
    </row>
    <row r="1938" spans="1:9">
      <c r="A1938" s="49">
        <v>45839</v>
      </c>
      <c r="B1938" s="50">
        <v>0.7587962962962963</v>
      </c>
      <c r="C1938" t="s">
        <v>150</v>
      </c>
      <c r="D1938" t="s">
        <v>35</v>
      </c>
      <c r="E1938" t="s">
        <v>174</v>
      </c>
      <c r="F1938" t="s">
        <v>314</v>
      </c>
      <c r="G1938">
        <v>-10000</v>
      </c>
      <c r="H1938" t="s">
        <v>153</v>
      </c>
      <c r="I1938" t="s">
        <v>64</v>
      </c>
    </row>
    <row r="1939" spans="1:9">
      <c r="A1939" s="49">
        <v>45839</v>
      </c>
      <c r="B1939" s="50">
        <v>0.7564930555555556</v>
      </c>
      <c r="C1939" t="s">
        <v>150</v>
      </c>
      <c r="D1939" t="s">
        <v>48</v>
      </c>
      <c r="E1939" t="s">
        <v>629</v>
      </c>
      <c r="F1939" t="s">
        <v>847</v>
      </c>
      <c r="G1939">
        <v>-25400</v>
      </c>
      <c r="H1939" t="s">
        <v>153</v>
      </c>
      <c r="I1939" t="s">
        <v>214</v>
      </c>
    </row>
    <row r="1940" spans="1:9">
      <c r="A1940" s="49">
        <v>45839</v>
      </c>
      <c r="B1940" s="50">
        <v>0.6364236111111111</v>
      </c>
      <c r="C1940" t="s">
        <v>150</v>
      </c>
      <c r="D1940" t="s">
        <v>35</v>
      </c>
      <c r="E1940" t="s">
        <v>169</v>
      </c>
      <c r="F1940" t="s">
        <v>739</v>
      </c>
      <c r="G1940">
        <v>-1059</v>
      </c>
      <c r="H1940" t="s">
        <v>153</v>
      </c>
      <c r="I1940" t="s">
        <v>164</v>
      </c>
    </row>
    <row r="1941" spans="1:9">
      <c r="A1941" s="49">
        <v>45839</v>
      </c>
      <c r="B1941" s="50">
        <v>0.5342939814814814</v>
      </c>
      <c r="C1941" t="s">
        <v>155</v>
      </c>
      <c r="D1941" t="s">
        <v>155</v>
      </c>
      <c r="E1941" t="s">
        <v>32</v>
      </c>
      <c r="F1941" t="s">
        <v>848</v>
      </c>
      <c r="G1941">
        <v>-100000</v>
      </c>
      <c r="H1941" t="s">
        <v>153</v>
      </c>
      <c r="I1941" t="s">
        <v>64</v>
      </c>
    </row>
    <row r="1942" spans="1:9">
      <c r="A1942" s="49">
        <v>45839</v>
      </c>
      <c r="B1942" s="50">
        <v>0.08491898148148148</v>
      </c>
      <c r="C1942" t="s">
        <v>155</v>
      </c>
      <c r="D1942" t="s">
        <v>158</v>
      </c>
      <c r="E1942" t="s">
        <v>32</v>
      </c>
      <c r="F1942" t="s">
        <v>7</v>
      </c>
      <c r="G1942">
        <v>-4000000</v>
      </c>
      <c r="H1942" t="s">
        <v>153</v>
      </c>
      <c r="I1942" t="s">
        <v>64</v>
      </c>
    </row>
    <row r="1943" spans="1:9">
      <c r="A1943" s="49">
        <v>45839</v>
      </c>
      <c r="B1943" s="50">
        <v>0.03561342592592592</v>
      </c>
      <c r="C1943" t="s">
        <v>155</v>
      </c>
      <c r="D1943" t="s">
        <v>155</v>
      </c>
      <c r="E1943" t="s">
        <v>32</v>
      </c>
      <c r="F1943" t="s">
        <v>246</v>
      </c>
      <c r="G1943">
        <v>-3550</v>
      </c>
      <c r="H1943" t="s">
        <v>153</v>
      </c>
      <c r="I1943" t="s">
        <v>64</v>
      </c>
    </row>
    <row r="1944" spans="1:9">
      <c r="A1944" s="49">
        <v>45839</v>
      </c>
      <c r="B1944" s="50">
        <v>0.008402777777777778</v>
      </c>
      <c r="C1944" t="s">
        <v>155</v>
      </c>
      <c r="D1944" t="s">
        <v>155</v>
      </c>
      <c r="E1944" t="s">
        <v>32</v>
      </c>
      <c r="F1944" t="s">
        <v>849</v>
      </c>
      <c r="G1944">
        <v>499000</v>
      </c>
      <c r="H1944" t="s">
        <v>153</v>
      </c>
      <c r="I1944" t="s">
        <v>64</v>
      </c>
    </row>
    <row r="1945" spans="1:9">
      <c r="A1945" s="49">
        <v>45838</v>
      </c>
      <c r="B1945" s="50">
        <v>0.9540972222222223</v>
      </c>
      <c r="C1945" t="s">
        <v>155</v>
      </c>
      <c r="D1945" t="s">
        <v>155</v>
      </c>
      <c r="E1945" t="s">
        <v>32</v>
      </c>
      <c r="F1945" t="s">
        <v>850</v>
      </c>
      <c r="G1945">
        <v>499000</v>
      </c>
      <c r="H1945" t="s">
        <v>153</v>
      </c>
      <c r="I1945" t="s">
        <v>64</v>
      </c>
    </row>
    <row r="1946" spans="1:9">
      <c r="A1946" s="49">
        <v>45838</v>
      </c>
      <c r="B1946" s="50">
        <v>0.8692245370370371</v>
      </c>
      <c r="C1946" t="s">
        <v>155</v>
      </c>
      <c r="D1946" t="s">
        <v>155</v>
      </c>
      <c r="E1946" t="s">
        <v>32</v>
      </c>
      <c r="F1946" t="s">
        <v>851</v>
      </c>
      <c r="G1946">
        <v>499000</v>
      </c>
      <c r="H1946" t="s">
        <v>153</v>
      </c>
      <c r="I1946" t="s">
        <v>64</v>
      </c>
    </row>
    <row r="1947" spans="1:9">
      <c r="A1947" s="49">
        <v>45838</v>
      </c>
      <c r="B1947" s="50">
        <v>0.6302546296296296</v>
      </c>
      <c r="C1947" t="s">
        <v>150</v>
      </c>
      <c r="D1947" t="s">
        <v>48</v>
      </c>
      <c r="E1947" t="s">
        <v>185</v>
      </c>
      <c r="F1947" t="s">
        <v>362</v>
      </c>
      <c r="G1947">
        <v>-3000</v>
      </c>
      <c r="H1947" t="s">
        <v>153</v>
      </c>
      <c r="I1947" t="s">
        <v>214</v>
      </c>
    </row>
    <row r="1948" spans="1:9">
      <c r="A1948" s="49">
        <v>45837</v>
      </c>
      <c r="B1948" s="50">
        <v>0.9791898148148148</v>
      </c>
      <c r="C1948" t="s">
        <v>155</v>
      </c>
      <c r="D1948" t="s">
        <v>155</v>
      </c>
      <c r="E1948" t="s">
        <v>32</v>
      </c>
      <c r="F1948" t="s">
        <v>852</v>
      </c>
      <c r="G1948">
        <v>499000</v>
      </c>
      <c r="H1948" t="s">
        <v>153</v>
      </c>
      <c r="I1948" t="s">
        <v>64</v>
      </c>
    </row>
    <row r="1949" spans="1:9">
      <c r="A1949" s="49">
        <v>45837</v>
      </c>
      <c r="B1949" s="50">
        <v>0.8356597222222222</v>
      </c>
      <c r="C1949" t="s">
        <v>155</v>
      </c>
      <c r="D1949" t="s">
        <v>155</v>
      </c>
      <c r="E1949" t="s">
        <v>32</v>
      </c>
      <c r="F1949" t="s">
        <v>853</v>
      </c>
      <c r="G1949">
        <v>99000</v>
      </c>
      <c r="H1949" t="s">
        <v>153</v>
      </c>
      <c r="I1949" t="s">
        <v>64</v>
      </c>
    </row>
    <row r="1950" spans="1:9">
      <c r="A1950" s="49">
        <v>45837</v>
      </c>
      <c r="B1950" s="50">
        <v>0.8348032407407407</v>
      </c>
      <c r="C1950" t="s">
        <v>155</v>
      </c>
      <c r="D1950" t="s">
        <v>155</v>
      </c>
      <c r="E1950" t="s">
        <v>32</v>
      </c>
      <c r="F1950" t="s">
        <v>853</v>
      </c>
      <c r="G1950">
        <v>400000</v>
      </c>
      <c r="H1950" t="s">
        <v>153</v>
      </c>
      <c r="I1950" t="s">
        <v>64</v>
      </c>
    </row>
    <row r="1951" spans="1:9">
      <c r="A1951" s="49">
        <v>45837</v>
      </c>
      <c r="B1951" s="50">
        <v>0.8179166666666666</v>
      </c>
      <c r="C1951" t="s">
        <v>150</v>
      </c>
      <c r="D1951" t="s">
        <v>42</v>
      </c>
      <c r="E1951" t="s">
        <v>212</v>
      </c>
      <c r="F1951" t="s">
        <v>854</v>
      </c>
      <c r="G1951">
        <v>-64000</v>
      </c>
      <c r="H1951" t="s">
        <v>153</v>
      </c>
      <c r="I1951" t="s">
        <v>214</v>
      </c>
    </row>
    <row r="1952" spans="1:9">
      <c r="A1952" s="49">
        <v>45837</v>
      </c>
      <c r="B1952" s="50">
        <v>0.7589699074074074</v>
      </c>
      <c r="C1952" t="s">
        <v>150</v>
      </c>
      <c r="D1952" t="s">
        <v>35</v>
      </c>
      <c r="E1952" t="s">
        <v>169</v>
      </c>
      <c r="F1952" t="s">
        <v>739</v>
      </c>
      <c r="G1952">
        <v>-1212</v>
      </c>
      <c r="H1952" t="s">
        <v>153</v>
      </c>
      <c r="I1952" t="s">
        <v>164</v>
      </c>
    </row>
    <row r="1953" spans="1:9">
      <c r="A1953" s="49">
        <v>45837</v>
      </c>
      <c r="B1953" s="50">
        <v>0.6606018518518518</v>
      </c>
      <c r="C1953" t="s">
        <v>150</v>
      </c>
      <c r="D1953" t="s">
        <v>44</v>
      </c>
      <c r="E1953" t="s">
        <v>315</v>
      </c>
      <c r="F1953" t="s">
        <v>316</v>
      </c>
      <c r="G1953">
        <v>-13560</v>
      </c>
      <c r="H1953" t="s">
        <v>153</v>
      </c>
      <c r="I1953" t="s">
        <v>164</v>
      </c>
    </row>
    <row r="1954" spans="1:9">
      <c r="A1954" s="49">
        <v>45837</v>
      </c>
      <c r="B1954" s="50">
        <v>0.5655555555555556</v>
      </c>
      <c r="C1954" t="s">
        <v>150</v>
      </c>
      <c r="D1954" t="s">
        <v>44</v>
      </c>
      <c r="E1954" t="s">
        <v>225</v>
      </c>
      <c r="F1954" t="s">
        <v>395</v>
      </c>
      <c r="G1954">
        <v>-14900</v>
      </c>
      <c r="H1954" t="s">
        <v>153</v>
      </c>
      <c r="I1954" t="s">
        <v>171</v>
      </c>
    </row>
    <row r="1955" spans="1:9">
      <c r="A1955" s="49">
        <v>45837</v>
      </c>
      <c r="B1955" s="50">
        <v>0.08561342592592593</v>
      </c>
      <c r="C1955" t="s">
        <v>150</v>
      </c>
      <c r="D1955" t="s">
        <v>44</v>
      </c>
      <c r="E1955" t="s">
        <v>225</v>
      </c>
      <c r="F1955" t="s">
        <v>855</v>
      </c>
      <c r="G1955">
        <v>-27919</v>
      </c>
      <c r="H1955" t="s">
        <v>153</v>
      </c>
      <c r="I1955" t="s">
        <v>214</v>
      </c>
    </row>
    <row r="1956" spans="1:9">
      <c r="A1956" s="49">
        <v>45837</v>
      </c>
      <c r="B1956" s="50">
        <v>0.0234837962962963</v>
      </c>
      <c r="C1956" t="s">
        <v>155</v>
      </c>
      <c r="D1956" t="s">
        <v>155</v>
      </c>
      <c r="E1956" t="s">
        <v>32</v>
      </c>
      <c r="F1956" t="s">
        <v>856</v>
      </c>
      <c r="G1956">
        <v>499000</v>
      </c>
      <c r="H1956" t="s">
        <v>153</v>
      </c>
      <c r="I1956" t="s">
        <v>64</v>
      </c>
    </row>
    <row r="1957" spans="1:9">
      <c r="A1957" s="49">
        <v>45837</v>
      </c>
      <c r="B1957" s="50">
        <v>0.01679398148148148</v>
      </c>
      <c r="C1957" t="s">
        <v>155</v>
      </c>
      <c r="D1957" t="s">
        <v>155</v>
      </c>
      <c r="E1957" t="s">
        <v>32</v>
      </c>
      <c r="F1957" t="s">
        <v>857</v>
      </c>
      <c r="G1957">
        <v>499000</v>
      </c>
      <c r="H1957" t="s">
        <v>153</v>
      </c>
      <c r="I1957" t="s">
        <v>64</v>
      </c>
    </row>
    <row r="1958" spans="1:9">
      <c r="A1958" s="49">
        <v>45836</v>
      </c>
      <c r="B1958" s="50">
        <v>0.9439004629629629</v>
      </c>
      <c r="C1958" t="s">
        <v>167</v>
      </c>
      <c r="D1958" t="s">
        <v>31</v>
      </c>
      <c r="E1958" t="s">
        <v>32</v>
      </c>
      <c r="F1958" t="s">
        <v>168</v>
      </c>
      <c r="G1958">
        <v>3000</v>
      </c>
      <c r="H1958" t="s">
        <v>153</v>
      </c>
      <c r="I1958" t="s">
        <v>64</v>
      </c>
    </row>
    <row r="1959" spans="1:9">
      <c r="A1959" s="49">
        <v>45836</v>
      </c>
      <c r="B1959" s="50">
        <v>0.9438657407407407</v>
      </c>
      <c r="C1959" t="s">
        <v>150</v>
      </c>
      <c r="D1959" t="s">
        <v>35</v>
      </c>
      <c r="E1959" t="s">
        <v>169</v>
      </c>
      <c r="F1959" t="s">
        <v>170</v>
      </c>
      <c r="G1959">
        <v>-1620</v>
      </c>
      <c r="H1959" t="s">
        <v>153</v>
      </c>
      <c r="I1959" t="s">
        <v>171</v>
      </c>
    </row>
    <row r="1960" spans="1:9">
      <c r="A1960" s="49">
        <v>45836</v>
      </c>
      <c r="B1960" s="50">
        <v>0.939849537037037</v>
      </c>
      <c r="C1960" t="s">
        <v>150</v>
      </c>
      <c r="D1960" t="s">
        <v>35</v>
      </c>
      <c r="E1960" t="s">
        <v>169</v>
      </c>
      <c r="F1960" t="s">
        <v>170</v>
      </c>
      <c r="G1960">
        <v>3000</v>
      </c>
      <c r="H1960" t="s">
        <v>153</v>
      </c>
      <c r="I1960" t="s">
        <v>171</v>
      </c>
    </row>
    <row r="1961" spans="1:9">
      <c r="A1961" s="49">
        <v>45836</v>
      </c>
      <c r="B1961" s="50">
        <v>0.939849537037037</v>
      </c>
      <c r="C1961" t="s">
        <v>150</v>
      </c>
      <c r="D1961" t="s">
        <v>40</v>
      </c>
      <c r="E1961" t="s">
        <v>172</v>
      </c>
      <c r="F1961" t="s">
        <v>173</v>
      </c>
      <c r="G1961">
        <v>-3000</v>
      </c>
      <c r="H1961" t="s">
        <v>153</v>
      </c>
      <c r="I1961" t="s">
        <v>64</v>
      </c>
    </row>
    <row r="1962" spans="1:9">
      <c r="A1962" s="49">
        <v>45836</v>
      </c>
      <c r="B1962" s="50">
        <v>0.9027199074074074</v>
      </c>
      <c r="C1962" t="s">
        <v>155</v>
      </c>
      <c r="D1962" t="s">
        <v>155</v>
      </c>
      <c r="E1962" t="s">
        <v>32</v>
      </c>
      <c r="F1962" t="s">
        <v>858</v>
      </c>
      <c r="G1962">
        <v>499000</v>
      </c>
      <c r="H1962" t="s">
        <v>153</v>
      </c>
      <c r="I1962" t="s">
        <v>64</v>
      </c>
    </row>
    <row r="1963" spans="1:9">
      <c r="A1963" s="49">
        <v>45836</v>
      </c>
      <c r="B1963" s="50">
        <v>0.7669444444444444</v>
      </c>
      <c r="C1963" t="s">
        <v>150</v>
      </c>
      <c r="D1963" t="s">
        <v>42</v>
      </c>
      <c r="E1963" t="s">
        <v>582</v>
      </c>
      <c r="F1963" t="s">
        <v>859</v>
      </c>
      <c r="G1963">
        <v>-49000</v>
      </c>
      <c r="H1963" t="s">
        <v>153</v>
      </c>
      <c r="I1963" t="s">
        <v>214</v>
      </c>
    </row>
    <row r="1964" spans="1:9">
      <c r="A1964" s="49">
        <v>45836</v>
      </c>
      <c r="B1964" s="50">
        <v>0.7206018518518519</v>
      </c>
      <c r="C1964" t="s">
        <v>150</v>
      </c>
      <c r="D1964" t="s">
        <v>49</v>
      </c>
      <c r="E1964" t="s">
        <v>403</v>
      </c>
      <c r="F1964" t="s">
        <v>860</v>
      </c>
      <c r="G1964">
        <v>-10000</v>
      </c>
      <c r="H1964" t="s">
        <v>153</v>
      </c>
      <c r="I1964" t="s">
        <v>214</v>
      </c>
    </row>
    <row r="1965" spans="1:9">
      <c r="A1965" s="49">
        <v>45836</v>
      </c>
      <c r="B1965" s="50">
        <v>0.6433333333333333</v>
      </c>
      <c r="C1965" t="s">
        <v>150</v>
      </c>
      <c r="D1965" t="s">
        <v>48</v>
      </c>
      <c r="E1965" t="s">
        <v>185</v>
      </c>
      <c r="F1965" t="s">
        <v>861</v>
      </c>
      <c r="G1965">
        <v>-5000</v>
      </c>
      <c r="H1965" t="s">
        <v>153</v>
      </c>
      <c r="I1965" t="s">
        <v>214</v>
      </c>
    </row>
    <row r="1966" spans="1:9">
      <c r="A1966" s="49">
        <v>45836</v>
      </c>
      <c r="B1966" s="50">
        <v>0.6404745370370371</v>
      </c>
      <c r="C1966" t="s">
        <v>150</v>
      </c>
      <c r="D1966" t="s">
        <v>48</v>
      </c>
      <c r="E1966" t="s">
        <v>185</v>
      </c>
      <c r="F1966" t="s">
        <v>861</v>
      </c>
      <c r="G1966">
        <v>-5700</v>
      </c>
      <c r="H1966" t="s">
        <v>153</v>
      </c>
      <c r="I1966" t="s">
        <v>214</v>
      </c>
    </row>
    <row r="1967" spans="1:9">
      <c r="A1967" s="49">
        <v>45836</v>
      </c>
      <c r="B1967" s="50">
        <v>0.6399537037037037</v>
      </c>
      <c r="C1967" t="s">
        <v>167</v>
      </c>
      <c r="D1967" t="s">
        <v>31</v>
      </c>
      <c r="E1967" t="s">
        <v>32</v>
      </c>
      <c r="F1967" t="s">
        <v>168</v>
      </c>
      <c r="G1967">
        <v>3000</v>
      </c>
      <c r="H1967" t="s">
        <v>153</v>
      </c>
      <c r="I1967" t="s">
        <v>64</v>
      </c>
    </row>
    <row r="1968" spans="1:9">
      <c r="A1968" s="49">
        <v>45836</v>
      </c>
      <c r="B1968" s="50">
        <v>0.6399074074074074</v>
      </c>
      <c r="C1968" t="s">
        <v>150</v>
      </c>
      <c r="D1968" t="s">
        <v>35</v>
      </c>
      <c r="E1968" t="s">
        <v>169</v>
      </c>
      <c r="F1968" t="s">
        <v>170</v>
      </c>
      <c r="G1968">
        <v>-1610</v>
      </c>
      <c r="H1968" t="s">
        <v>153</v>
      </c>
      <c r="I1968" t="s">
        <v>171</v>
      </c>
    </row>
    <row r="1969" spans="1:9">
      <c r="A1969" s="49">
        <v>45836</v>
      </c>
      <c r="B1969" s="50">
        <v>0.6350810185185185</v>
      </c>
      <c r="C1969" t="s">
        <v>150</v>
      </c>
      <c r="D1969" t="s">
        <v>35</v>
      </c>
      <c r="E1969" t="s">
        <v>169</v>
      </c>
      <c r="F1969" t="s">
        <v>170</v>
      </c>
      <c r="G1969">
        <v>3000</v>
      </c>
      <c r="H1969" t="s">
        <v>153</v>
      </c>
      <c r="I1969" t="s">
        <v>171</v>
      </c>
    </row>
    <row r="1970" spans="1:9">
      <c r="A1970" s="49">
        <v>45836</v>
      </c>
      <c r="B1970" s="50">
        <v>0.6350810185185185</v>
      </c>
      <c r="C1970" t="s">
        <v>150</v>
      </c>
      <c r="D1970" t="s">
        <v>40</v>
      </c>
      <c r="E1970" t="s">
        <v>172</v>
      </c>
      <c r="F1970" t="s">
        <v>173</v>
      </c>
      <c r="G1970">
        <v>-3000</v>
      </c>
      <c r="H1970" t="s">
        <v>153</v>
      </c>
      <c r="I1970" t="s">
        <v>64</v>
      </c>
    </row>
    <row r="1971" spans="1:9">
      <c r="A1971" s="49">
        <v>45836</v>
      </c>
      <c r="B1971" s="50">
        <v>0.5488425925925926</v>
      </c>
      <c r="C1971" t="s">
        <v>155</v>
      </c>
      <c r="D1971" t="s">
        <v>155</v>
      </c>
      <c r="E1971" t="s">
        <v>32</v>
      </c>
      <c r="F1971" t="s">
        <v>862</v>
      </c>
      <c r="G1971">
        <v>499000</v>
      </c>
      <c r="H1971" t="s">
        <v>153</v>
      </c>
      <c r="I1971" t="s">
        <v>64</v>
      </c>
    </row>
    <row r="1972" spans="1:9">
      <c r="A1972" s="49">
        <v>45836</v>
      </c>
      <c r="B1972" s="50">
        <v>0.546886574074074</v>
      </c>
      <c r="C1972" t="s">
        <v>155</v>
      </c>
      <c r="D1972" t="s">
        <v>155</v>
      </c>
      <c r="E1972" t="s">
        <v>32</v>
      </c>
      <c r="F1972" t="s">
        <v>863</v>
      </c>
      <c r="G1972">
        <v>499000</v>
      </c>
      <c r="H1972" t="s">
        <v>153</v>
      </c>
      <c r="I1972" t="s">
        <v>64</v>
      </c>
    </row>
    <row r="1973" spans="1:9">
      <c r="A1973" s="49">
        <v>45836</v>
      </c>
      <c r="B1973" s="50">
        <v>0.3615162037037037</v>
      </c>
      <c r="C1973" t="s">
        <v>155</v>
      </c>
      <c r="D1973" t="s">
        <v>241</v>
      </c>
      <c r="E1973" t="s">
        <v>32</v>
      </c>
      <c r="F1973" t="s">
        <v>864</v>
      </c>
      <c r="G1973">
        <v>499000</v>
      </c>
      <c r="H1973" t="s">
        <v>153</v>
      </c>
      <c r="I1973" t="s">
        <v>64</v>
      </c>
    </row>
    <row r="1974" spans="1:9">
      <c r="A1974" s="49">
        <v>45836</v>
      </c>
      <c r="B1974" s="50">
        <v>0.29625</v>
      </c>
      <c r="C1974" t="s">
        <v>155</v>
      </c>
      <c r="D1974" t="s">
        <v>155</v>
      </c>
      <c r="E1974" t="s">
        <v>32</v>
      </c>
      <c r="F1974" t="s">
        <v>865</v>
      </c>
      <c r="G1974">
        <v>499000</v>
      </c>
      <c r="H1974" t="s">
        <v>153</v>
      </c>
      <c r="I1974" t="s">
        <v>64</v>
      </c>
    </row>
    <row r="1975" spans="1:9">
      <c r="A1975" s="49">
        <v>45836</v>
      </c>
      <c r="B1975" s="50">
        <v>0.1940972222222222</v>
      </c>
      <c r="C1975" t="s">
        <v>167</v>
      </c>
      <c r="D1975" t="s">
        <v>28</v>
      </c>
      <c r="E1975" t="s">
        <v>32</v>
      </c>
      <c r="F1975" t="s">
        <v>278</v>
      </c>
      <c r="G1975">
        <v>1039</v>
      </c>
      <c r="H1975" t="s">
        <v>153</v>
      </c>
      <c r="I1975" t="s">
        <v>64</v>
      </c>
    </row>
    <row r="1976" spans="1:9">
      <c r="A1976" s="49">
        <v>45836</v>
      </c>
      <c r="B1976" s="50">
        <v>0.1038194444444445</v>
      </c>
      <c r="C1976" t="s">
        <v>155</v>
      </c>
      <c r="D1976" t="s">
        <v>241</v>
      </c>
      <c r="E1976" t="s">
        <v>32</v>
      </c>
      <c r="F1976" t="s">
        <v>279</v>
      </c>
      <c r="G1976">
        <v>0</v>
      </c>
      <c r="H1976" t="s">
        <v>153</v>
      </c>
      <c r="I1976" t="s">
        <v>62</v>
      </c>
    </row>
    <row r="1977" spans="1:9">
      <c r="A1977" s="49">
        <v>45835</v>
      </c>
      <c r="B1977" s="50">
        <v>0.7672685185185185</v>
      </c>
      <c r="C1977" t="s">
        <v>155</v>
      </c>
      <c r="D1977" t="s">
        <v>155</v>
      </c>
      <c r="E1977" t="s">
        <v>32</v>
      </c>
      <c r="F1977" t="s">
        <v>866</v>
      </c>
      <c r="G1977">
        <v>349000</v>
      </c>
      <c r="H1977" t="s">
        <v>153</v>
      </c>
      <c r="I1977" t="s">
        <v>64</v>
      </c>
    </row>
    <row r="1978" spans="1:9">
      <c r="A1978" s="49">
        <v>45835</v>
      </c>
      <c r="B1978" s="50">
        <v>0.5370138888888889</v>
      </c>
      <c r="C1978" t="s">
        <v>155</v>
      </c>
      <c r="D1978" t="s">
        <v>241</v>
      </c>
      <c r="E1978" t="s">
        <v>32</v>
      </c>
      <c r="F1978" t="s">
        <v>867</v>
      </c>
      <c r="G1978">
        <v>300000</v>
      </c>
      <c r="H1978" t="s">
        <v>153</v>
      </c>
      <c r="I1978" t="s">
        <v>64</v>
      </c>
    </row>
    <row r="1979" spans="1:9">
      <c r="A1979" s="49">
        <v>45835</v>
      </c>
      <c r="B1979" s="50">
        <v>0.3818287037037037</v>
      </c>
      <c r="C1979" t="s">
        <v>150</v>
      </c>
      <c r="D1979" t="s">
        <v>44</v>
      </c>
      <c r="E1979" t="s">
        <v>315</v>
      </c>
      <c r="F1979" t="s">
        <v>316</v>
      </c>
      <c r="G1979">
        <v>-29000</v>
      </c>
      <c r="H1979" t="s">
        <v>153</v>
      </c>
      <c r="I1979" t="s">
        <v>164</v>
      </c>
    </row>
    <row r="1980" spans="1:9">
      <c r="A1980" s="49">
        <v>45834</v>
      </c>
      <c r="B1980" s="50">
        <v>0.01359953703703704</v>
      </c>
      <c r="C1980" t="s">
        <v>150</v>
      </c>
      <c r="D1980" t="s">
        <v>35</v>
      </c>
      <c r="E1980" t="s">
        <v>169</v>
      </c>
      <c r="F1980" t="s">
        <v>170</v>
      </c>
      <c r="G1980">
        <v>-1500</v>
      </c>
      <c r="H1980" t="s">
        <v>153</v>
      </c>
      <c r="I1980" t="s">
        <v>171</v>
      </c>
    </row>
    <row r="1981" spans="1:9">
      <c r="A1981" s="49">
        <v>45833</v>
      </c>
      <c r="B1981" s="50">
        <v>0.9297337962962963</v>
      </c>
      <c r="C1981" t="s">
        <v>150</v>
      </c>
      <c r="D1981" t="s">
        <v>35</v>
      </c>
      <c r="E1981" t="s">
        <v>169</v>
      </c>
      <c r="F1981" t="s">
        <v>170</v>
      </c>
      <c r="G1981">
        <v>-1350</v>
      </c>
      <c r="H1981" t="s">
        <v>153</v>
      </c>
      <c r="I1981" t="s">
        <v>171</v>
      </c>
    </row>
    <row r="1982" spans="1:9">
      <c r="A1982" s="49">
        <v>45833</v>
      </c>
      <c r="B1982" s="50">
        <v>0.9297337962962963</v>
      </c>
      <c r="C1982" t="s">
        <v>167</v>
      </c>
      <c r="D1982" t="s">
        <v>31</v>
      </c>
      <c r="E1982" t="s">
        <v>32</v>
      </c>
      <c r="F1982" t="s">
        <v>168</v>
      </c>
      <c r="G1982">
        <v>3000</v>
      </c>
      <c r="H1982" t="s">
        <v>153</v>
      </c>
      <c r="I1982" t="s">
        <v>64</v>
      </c>
    </row>
    <row r="1983" spans="1:9">
      <c r="A1983" s="49">
        <v>45833</v>
      </c>
      <c r="B1983" s="50">
        <v>0.9266782407407408</v>
      </c>
      <c r="C1983" t="s">
        <v>150</v>
      </c>
      <c r="D1983" t="s">
        <v>35</v>
      </c>
      <c r="E1983" t="s">
        <v>169</v>
      </c>
      <c r="F1983" t="s">
        <v>170</v>
      </c>
      <c r="G1983">
        <v>3000</v>
      </c>
      <c r="H1983" t="s">
        <v>153</v>
      </c>
      <c r="I1983" t="s">
        <v>171</v>
      </c>
    </row>
    <row r="1984" spans="1:9">
      <c r="A1984" s="49">
        <v>45833</v>
      </c>
      <c r="B1984" s="50">
        <v>0.9266782407407408</v>
      </c>
      <c r="C1984" t="s">
        <v>150</v>
      </c>
      <c r="D1984" t="s">
        <v>40</v>
      </c>
      <c r="E1984" t="s">
        <v>172</v>
      </c>
      <c r="F1984" t="s">
        <v>173</v>
      </c>
      <c r="G1984">
        <v>-3000</v>
      </c>
      <c r="H1984" t="s">
        <v>153</v>
      </c>
      <c r="I1984" t="s">
        <v>64</v>
      </c>
    </row>
    <row r="1985" spans="1:9">
      <c r="A1985" s="49">
        <v>45833</v>
      </c>
      <c r="B1985" s="50">
        <v>0.8826041666666666</v>
      </c>
      <c r="C1985" t="s">
        <v>150</v>
      </c>
      <c r="D1985" t="s">
        <v>35</v>
      </c>
      <c r="E1985" t="s">
        <v>169</v>
      </c>
      <c r="F1985" t="s">
        <v>739</v>
      </c>
      <c r="G1985">
        <v>-1365</v>
      </c>
      <c r="H1985" t="s">
        <v>153</v>
      </c>
      <c r="I1985" t="s">
        <v>164</v>
      </c>
    </row>
    <row r="1986" spans="1:9">
      <c r="A1986" s="49">
        <v>45833</v>
      </c>
      <c r="B1986" s="50">
        <v>0.8677199074074075</v>
      </c>
      <c r="C1986" t="s">
        <v>150</v>
      </c>
      <c r="D1986" t="s">
        <v>37</v>
      </c>
      <c r="E1986" t="s">
        <v>457</v>
      </c>
      <c r="F1986" t="s">
        <v>868</v>
      </c>
      <c r="G1986">
        <v>-53800</v>
      </c>
      <c r="H1986" t="s">
        <v>153</v>
      </c>
      <c r="I1986" t="s">
        <v>214</v>
      </c>
    </row>
    <row r="1987" spans="1:9">
      <c r="A1987" s="49">
        <v>45833</v>
      </c>
      <c r="B1987" s="50">
        <v>0.8131712962962963</v>
      </c>
      <c r="C1987" t="s">
        <v>155</v>
      </c>
      <c r="D1987" t="s">
        <v>155</v>
      </c>
      <c r="E1987" t="s">
        <v>32</v>
      </c>
      <c r="F1987" t="s">
        <v>869</v>
      </c>
      <c r="G1987">
        <v>499000</v>
      </c>
      <c r="H1987" t="s">
        <v>153</v>
      </c>
      <c r="I1987" t="s">
        <v>64</v>
      </c>
    </row>
    <row r="1988" spans="1:9">
      <c r="A1988" s="49">
        <v>45833</v>
      </c>
      <c r="B1988" s="50">
        <v>0.07230324074074074</v>
      </c>
      <c r="C1988" t="s">
        <v>150</v>
      </c>
      <c r="D1988" t="s">
        <v>35</v>
      </c>
      <c r="E1988" t="s">
        <v>174</v>
      </c>
      <c r="F1988" t="s">
        <v>314</v>
      </c>
      <c r="G1988">
        <v>-30000</v>
      </c>
      <c r="H1988" t="s">
        <v>153</v>
      </c>
      <c r="I1988" t="s">
        <v>64</v>
      </c>
    </row>
    <row r="1989" spans="1:9">
      <c r="A1989" s="49">
        <v>45832</v>
      </c>
      <c r="B1989" s="50">
        <v>0.9754282407407407</v>
      </c>
      <c r="C1989" t="s">
        <v>155</v>
      </c>
      <c r="D1989" t="s">
        <v>155</v>
      </c>
      <c r="E1989" t="s">
        <v>32</v>
      </c>
      <c r="F1989" t="s">
        <v>488</v>
      </c>
      <c r="G1989">
        <v>499000</v>
      </c>
      <c r="H1989" t="s">
        <v>153</v>
      </c>
      <c r="I1989" t="s">
        <v>64</v>
      </c>
    </row>
    <row r="1990" spans="1:9">
      <c r="A1990" s="49">
        <v>45832</v>
      </c>
      <c r="B1990" s="50">
        <v>0.9526157407407407</v>
      </c>
      <c r="C1990" t="s">
        <v>150</v>
      </c>
      <c r="D1990" t="s">
        <v>35</v>
      </c>
      <c r="E1990" t="s">
        <v>174</v>
      </c>
      <c r="F1990" t="s">
        <v>314</v>
      </c>
      <c r="G1990">
        <v>-20000</v>
      </c>
      <c r="H1990" t="s">
        <v>153</v>
      </c>
      <c r="I1990" t="s">
        <v>64</v>
      </c>
    </row>
    <row r="1991" spans="1:9">
      <c r="A1991" s="49">
        <v>45832</v>
      </c>
      <c r="B1991" s="50">
        <v>0.9423726851851851</v>
      </c>
      <c r="C1991" t="s">
        <v>150</v>
      </c>
      <c r="D1991" t="s">
        <v>41</v>
      </c>
      <c r="E1991" t="s">
        <v>399</v>
      </c>
      <c r="F1991" t="s">
        <v>870</v>
      </c>
      <c r="G1991">
        <v>-29000</v>
      </c>
      <c r="H1991" t="s">
        <v>153</v>
      </c>
      <c r="I1991" t="s">
        <v>214</v>
      </c>
    </row>
    <row r="1992" spans="1:9">
      <c r="A1992" s="49">
        <v>45832</v>
      </c>
      <c r="B1992" s="50">
        <v>0.793425925925926</v>
      </c>
      <c r="C1992" t="s">
        <v>150</v>
      </c>
      <c r="D1992" t="s">
        <v>42</v>
      </c>
      <c r="E1992" t="s">
        <v>463</v>
      </c>
      <c r="F1992" t="s">
        <v>871</v>
      </c>
      <c r="G1992">
        <v>-63000</v>
      </c>
      <c r="H1992" t="s">
        <v>153</v>
      </c>
      <c r="I1992" t="s">
        <v>214</v>
      </c>
    </row>
    <row r="1993" spans="1:9">
      <c r="A1993" s="49">
        <v>45832</v>
      </c>
      <c r="B1993" s="50">
        <v>0.5166782407407408</v>
      </c>
      <c r="C1993" t="s">
        <v>150</v>
      </c>
      <c r="D1993" t="s">
        <v>48</v>
      </c>
      <c r="E1993" t="s">
        <v>185</v>
      </c>
      <c r="F1993" t="s">
        <v>718</v>
      </c>
      <c r="G1993">
        <v>-11610</v>
      </c>
      <c r="H1993" t="s">
        <v>153</v>
      </c>
      <c r="I1993" t="s">
        <v>214</v>
      </c>
    </row>
    <row r="1994" spans="1:9">
      <c r="A1994" s="49">
        <v>45831</v>
      </c>
      <c r="B1994" s="50">
        <v>0.9698958333333333</v>
      </c>
      <c r="C1994" t="s">
        <v>155</v>
      </c>
      <c r="D1994" t="s">
        <v>158</v>
      </c>
      <c r="E1994" t="s">
        <v>32</v>
      </c>
      <c r="F1994" t="s">
        <v>159</v>
      </c>
      <c r="G1994">
        <v>2000000</v>
      </c>
      <c r="H1994" t="s">
        <v>153</v>
      </c>
      <c r="I1994" t="s">
        <v>157</v>
      </c>
    </row>
    <row r="1995" spans="1:9">
      <c r="A1995" s="49">
        <v>45831</v>
      </c>
      <c r="B1995" s="50">
        <v>0.9698958333333333</v>
      </c>
      <c r="C1995" t="s">
        <v>155</v>
      </c>
      <c r="D1995" t="s">
        <v>158</v>
      </c>
      <c r="E1995" t="s">
        <v>32</v>
      </c>
      <c r="F1995" t="s">
        <v>159</v>
      </c>
      <c r="G1995">
        <v>98600</v>
      </c>
      <c r="H1995" t="s">
        <v>153</v>
      </c>
      <c r="I1995" t="s">
        <v>157</v>
      </c>
    </row>
    <row r="1996" spans="1:9">
      <c r="A1996" s="49">
        <v>45831</v>
      </c>
      <c r="B1996" s="50">
        <v>0.9698958333333333</v>
      </c>
      <c r="C1996" t="s">
        <v>155</v>
      </c>
      <c r="D1996" t="s">
        <v>158</v>
      </c>
      <c r="E1996" t="s">
        <v>32</v>
      </c>
      <c r="F1996" t="s">
        <v>160</v>
      </c>
      <c r="G1996">
        <v>-2000000</v>
      </c>
      <c r="H1996" t="s">
        <v>153</v>
      </c>
      <c r="I1996" t="s">
        <v>64</v>
      </c>
    </row>
    <row r="1997" spans="1:9">
      <c r="A1997" s="49">
        <v>45831</v>
      </c>
      <c r="B1997" s="50">
        <v>0.9698958333333333</v>
      </c>
      <c r="C1997" t="s">
        <v>155</v>
      </c>
      <c r="D1997" t="s">
        <v>158</v>
      </c>
      <c r="E1997" t="s">
        <v>32</v>
      </c>
      <c r="F1997" t="s">
        <v>160</v>
      </c>
      <c r="G1997">
        <v>-98600</v>
      </c>
      <c r="H1997" t="s">
        <v>153</v>
      </c>
      <c r="I1997" t="s">
        <v>64</v>
      </c>
    </row>
    <row r="1998" spans="1:9">
      <c r="A1998" s="49">
        <v>45831</v>
      </c>
      <c r="B1998" s="50">
        <v>0.9693402777777778</v>
      </c>
      <c r="C1998" t="s">
        <v>155</v>
      </c>
      <c r="D1998" t="s">
        <v>158</v>
      </c>
      <c r="E1998" t="s">
        <v>32</v>
      </c>
      <c r="F1998" t="s">
        <v>7</v>
      </c>
      <c r="G1998">
        <v>-4000000</v>
      </c>
      <c r="H1998" t="s">
        <v>153</v>
      </c>
      <c r="I1998" t="s">
        <v>64</v>
      </c>
    </row>
    <row r="1999" spans="1:9">
      <c r="A1999" s="49">
        <v>45831</v>
      </c>
      <c r="B1999" s="50">
        <v>0.9551967592592593</v>
      </c>
      <c r="C1999" t="s">
        <v>150</v>
      </c>
      <c r="D1999" t="s">
        <v>40</v>
      </c>
      <c r="E1999" t="s">
        <v>172</v>
      </c>
      <c r="F1999" t="s">
        <v>697</v>
      </c>
      <c r="G1999">
        <v>9900</v>
      </c>
      <c r="H1999" t="s">
        <v>153</v>
      </c>
      <c r="I1999" t="s">
        <v>214</v>
      </c>
    </row>
    <row r="2000" spans="1:9">
      <c r="A2000" s="49">
        <v>45831</v>
      </c>
      <c r="B2000" s="50">
        <v>0.9542013888888888</v>
      </c>
      <c r="C2000" t="s">
        <v>150</v>
      </c>
      <c r="D2000" t="s">
        <v>40</v>
      </c>
      <c r="E2000" t="s">
        <v>172</v>
      </c>
      <c r="F2000" t="s">
        <v>697</v>
      </c>
      <c r="G2000">
        <v>-9900</v>
      </c>
      <c r="H2000" t="s">
        <v>153</v>
      </c>
      <c r="I2000" t="s">
        <v>214</v>
      </c>
    </row>
    <row r="2001" spans="1:9">
      <c r="A2001" s="49">
        <v>45831</v>
      </c>
      <c r="B2001" s="50">
        <v>0.9370138888888889</v>
      </c>
      <c r="C2001" t="s">
        <v>150</v>
      </c>
      <c r="D2001" t="s">
        <v>36</v>
      </c>
      <c r="E2001" t="s">
        <v>191</v>
      </c>
      <c r="F2001" t="s">
        <v>192</v>
      </c>
      <c r="G2001">
        <v>-200000</v>
      </c>
      <c r="H2001" t="s">
        <v>153</v>
      </c>
      <c r="I2001" t="s">
        <v>157</v>
      </c>
    </row>
    <row r="2002" spans="1:9">
      <c r="A2002" s="49">
        <v>45831</v>
      </c>
      <c r="B2002" s="50">
        <v>0.9370023148148148</v>
      </c>
      <c r="C2002" t="s">
        <v>155</v>
      </c>
      <c r="D2002" t="s">
        <v>158</v>
      </c>
      <c r="E2002" t="s">
        <v>32</v>
      </c>
      <c r="F2002" t="s">
        <v>159</v>
      </c>
      <c r="G2002">
        <v>81099</v>
      </c>
      <c r="H2002" t="s">
        <v>153</v>
      </c>
      <c r="I2002" t="s">
        <v>157</v>
      </c>
    </row>
    <row r="2003" spans="1:9">
      <c r="A2003" s="49">
        <v>45831</v>
      </c>
      <c r="B2003" s="50">
        <v>0.9370023148148148</v>
      </c>
      <c r="C2003" t="s">
        <v>155</v>
      </c>
      <c r="D2003" t="s">
        <v>158</v>
      </c>
      <c r="E2003" t="s">
        <v>32</v>
      </c>
      <c r="F2003" t="s">
        <v>160</v>
      </c>
      <c r="G2003">
        <v>-81099</v>
      </c>
      <c r="H2003" t="s">
        <v>153</v>
      </c>
      <c r="I2003" t="s">
        <v>64</v>
      </c>
    </row>
    <row r="2004" spans="1:9">
      <c r="A2004" s="49">
        <v>45831</v>
      </c>
      <c r="B2004" s="50">
        <v>0.9169212962962963</v>
      </c>
      <c r="C2004" t="s">
        <v>150</v>
      </c>
      <c r="D2004" t="s">
        <v>35</v>
      </c>
      <c r="E2004" t="s">
        <v>174</v>
      </c>
      <c r="F2004" t="s">
        <v>314</v>
      </c>
      <c r="G2004">
        <v>-10000</v>
      </c>
      <c r="H2004" t="s">
        <v>153</v>
      </c>
      <c r="I2004" t="s">
        <v>64</v>
      </c>
    </row>
    <row r="2005" spans="1:9">
      <c r="A2005" s="49">
        <v>45831</v>
      </c>
      <c r="B2005" s="50">
        <v>0.7624768518518519</v>
      </c>
      <c r="C2005" t="s">
        <v>150</v>
      </c>
      <c r="D2005" t="s">
        <v>43</v>
      </c>
      <c r="E2005" t="s">
        <v>644</v>
      </c>
      <c r="F2005" t="s">
        <v>872</v>
      </c>
      <c r="G2005">
        <v>-32990</v>
      </c>
      <c r="H2005" t="s">
        <v>153</v>
      </c>
      <c r="I2005" t="s">
        <v>64</v>
      </c>
    </row>
    <row r="2006" spans="1:9">
      <c r="A2006" s="49">
        <v>45831</v>
      </c>
      <c r="B2006" s="50">
        <v>0.7615509259259259</v>
      </c>
      <c r="C2006" t="s">
        <v>167</v>
      </c>
      <c r="D2006" t="s">
        <v>31</v>
      </c>
      <c r="E2006" t="s">
        <v>32</v>
      </c>
      <c r="F2006" t="s">
        <v>168</v>
      </c>
      <c r="G2006">
        <v>3000</v>
      </c>
      <c r="H2006" t="s">
        <v>153</v>
      </c>
      <c r="I2006" t="s">
        <v>64</v>
      </c>
    </row>
    <row r="2007" spans="1:9">
      <c r="A2007" s="49">
        <v>45831</v>
      </c>
      <c r="B2007" s="50">
        <v>0.7615162037037037</v>
      </c>
      <c r="C2007" t="s">
        <v>150</v>
      </c>
      <c r="D2007" t="s">
        <v>35</v>
      </c>
      <c r="E2007" t="s">
        <v>169</v>
      </c>
      <c r="F2007" t="s">
        <v>170</v>
      </c>
      <c r="G2007">
        <v>-1840</v>
      </c>
      <c r="H2007" t="s">
        <v>153</v>
      </c>
      <c r="I2007" t="s">
        <v>171</v>
      </c>
    </row>
    <row r="2008" spans="1:9">
      <c r="A2008" s="49">
        <v>45831</v>
      </c>
      <c r="B2008" s="50">
        <v>0.7564583333333333</v>
      </c>
      <c r="C2008" t="s">
        <v>150</v>
      </c>
      <c r="D2008" t="s">
        <v>35</v>
      </c>
      <c r="E2008" t="s">
        <v>169</v>
      </c>
      <c r="F2008" t="s">
        <v>170</v>
      </c>
      <c r="G2008">
        <v>3000</v>
      </c>
      <c r="H2008" t="s">
        <v>153</v>
      </c>
      <c r="I2008" t="s">
        <v>171</v>
      </c>
    </row>
    <row r="2009" spans="1:9">
      <c r="A2009" s="49">
        <v>45831</v>
      </c>
      <c r="B2009" s="50">
        <v>0.7564467592592593</v>
      </c>
      <c r="C2009" t="s">
        <v>150</v>
      </c>
      <c r="D2009" t="s">
        <v>40</v>
      </c>
      <c r="E2009" t="s">
        <v>172</v>
      </c>
      <c r="F2009" t="s">
        <v>173</v>
      </c>
      <c r="G2009">
        <v>-3000</v>
      </c>
      <c r="H2009" t="s">
        <v>153</v>
      </c>
      <c r="I2009" t="s">
        <v>64</v>
      </c>
    </row>
    <row r="2010" spans="1:9">
      <c r="A2010" s="49">
        <v>45831</v>
      </c>
      <c r="B2010" s="50">
        <v>0.7392476851851851</v>
      </c>
      <c r="C2010" t="s">
        <v>150</v>
      </c>
      <c r="D2010" t="s">
        <v>40</v>
      </c>
      <c r="E2010" t="s">
        <v>172</v>
      </c>
      <c r="F2010" t="s">
        <v>873</v>
      </c>
      <c r="G2010">
        <v>-1100</v>
      </c>
      <c r="H2010" t="s">
        <v>153</v>
      </c>
      <c r="I2010" t="s">
        <v>164</v>
      </c>
    </row>
    <row r="2011" spans="1:9">
      <c r="A2011" s="49">
        <v>45831</v>
      </c>
      <c r="B2011" s="50">
        <v>0.6023148148148149</v>
      </c>
      <c r="C2011" t="s">
        <v>155</v>
      </c>
      <c r="D2011" t="s">
        <v>155</v>
      </c>
      <c r="E2011" t="s">
        <v>32</v>
      </c>
      <c r="F2011" t="s">
        <v>246</v>
      </c>
      <c r="G2011">
        <v>23600</v>
      </c>
      <c r="H2011" t="s">
        <v>153</v>
      </c>
      <c r="I2011" t="s">
        <v>64</v>
      </c>
    </row>
    <row r="2012" spans="1:9">
      <c r="A2012" s="49">
        <v>45831</v>
      </c>
      <c r="B2012" s="50">
        <v>0.03765046296296296</v>
      </c>
      <c r="C2012" t="s">
        <v>155</v>
      </c>
      <c r="D2012" t="s">
        <v>155</v>
      </c>
      <c r="E2012" t="s">
        <v>32</v>
      </c>
      <c r="F2012" t="s">
        <v>246</v>
      </c>
      <c r="G2012">
        <v>-9900</v>
      </c>
      <c r="H2012" t="s">
        <v>153</v>
      </c>
      <c r="I2012" t="s">
        <v>64</v>
      </c>
    </row>
    <row r="2013" spans="1:9">
      <c r="A2013" s="49">
        <v>45830</v>
      </c>
      <c r="B2013" s="50">
        <v>0.9914236111111111</v>
      </c>
      <c r="C2013" t="s">
        <v>155</v>
      </c>
      <c r="D2013" t="s">
        <v>155</v>
      </c>
      <c r="E2013" t="s">
        <v>32</v>
      </c>
      <c r="F2013" t="s">
        <v>246</v>
      </c>
      <c r="G2013">
        <v>-23900</v>
      </c>
      <c r="H2013" t="s">
        <v>153</v>
      </c>
      <c r="I2013" t="s">
        <v>64</v>
      </c>
    </row>
    <row r="2014" spans="1:9">
      <c r="A2014" s="49">
        <v>45830</v>
      </c>
      <c r="B2014" s="50">
        <v>0.8090393518518518</v>
      </c>
      <c r="C2014" t="s">
        <v>155</v>
      </c>
      <c r="D2014" t="s">
        <v>155</v>
      </c>
      <c r="E2014" t="s">
        <v>32</v>
      </c>
      <c r="F2014" t="s">
        <v>874</v>
      </c>
      <c r="G2014">
        <v>-110000</v>
      </c>
      <c r="H2014" t="s">
        <v>153</v>
      </c>
      <c r="I2014" t="s">
        <v>64</v>
      </c>
    </row>
    <row r="2015" spans="1:9">
      <c r="A2015" s="49">
        <v>45830</v>
      </c>
      <c r="B2015" s="50">
        <v>0.7925347222222222</v>
      </c>
      <c r="C2015" t="s">
        <v>155</v>
      </c>
      <c r="D2015" t="s">
        <v>155</v>
      </c>
      <c r="E2015" t="s">
        <v>32</v>
      </c>
      <c r="F2015" t="s">
        <v>722</v>
      </c>
      <c r="G2015">
        <v>120000</v>
      </c>
      <c r="H2015" t="s">
        <v>153</v>
      </c>
      <c r="I2015" t="s">
        <v>157</v>
      </c>
    </row>
    <row r="2016" spans="1:9">
      <c r="A2016" s="49">
        <v>45830</v>
      </c>
      <c r="B2016" s="50">
        <v>0.6855555555555556</v>
      </c>
      <c r="C2016" t="s">
        <v>155</v>
      </c>
      <c r="D2016" t="s">
        <v>155</v>
      </c>
      <c r="E2016" t="s">
        <v>32</v>
      </c>
      <c r="F2016" t="s">
        <v>875</v>
      </c>
      <c r="G2016">
        <v>1</v>
      </c>
      <c r="H2016" t="s">
        <v>153</v>
      </c>
      <c r="I2016" t="s">
        <v>64</v>
      </c>
    </row>
    <row r="2017" spans="1:9">
      <c r="A2017" s="49">
        <v>45830</v>
      </c>
      <c r="B2017" s="50">
        <v>0.3381134259259259</v>
      </c>
      <c r="C2017" t="s">
        <v>155</v>
      </c>
      <c r="D2017" t="s">
        <v>155</v>
      </c>
      <c r="E2017" t="s">
        <v>32</v>
      </c>
      <c r="F2017" t="s">
        <v>673</v>
      </c>
      <c r="G2017">
        <v>499000</v>
      </c>
      <c r="H2017" t="s">
        <v>153</v>
      </c>
      <c r="I2017" t="s">
        <v>64</v>
      </c>
    </row>
    <row r="2018" spans="1:9">
      <c r="A2018" s="49">
        <v>45830</v>
      </c>
      <c r="B2018" s="50">
        <v>0.1288773148148148</v>
      </c>
      <c r="C2018" t="s">
        <v>155</v>
      </c>
      <c r="D2018" t="s">
        <v>155</v>
      </c>
      <c r="E2018" t="s">
        <v>32</v>
      </c>
      <c r="F2018" t="s">
        <v>160</v>
      </c>
      <c r="G2018">
        <v>-200000</v>
      </c>
      <c r="H2018" t="s">
        <v>153</v>
      </c>
      <c r="I2018" t="s">
        <v>64</v>
      </c>
    </row>
    <row r="2019" spans="1:9">
      <c r="A2019" s="49">
        <v>45830</v>
      </c>
      <c r="B2019" s="50">
        <v>0.01981481481481482</v>
      </c>
      <c r="C2019" t="s">
        <v>150</v>
      </c>
      <c r="D2019" t="s">
        <v>35</v>
      </c>
      <c r="E2019" t="s">
        <v>174</v>
      </c>
      <c r="F2019" t="s">
        <v>314</v>
      </c>
      <c r="G2019">
        <v>-30000</v>
      </c>
      <c r="H2019" t="s">
        <v>153</v>
      </c>
      <c r="I2019" t="s">
        <v>64</v>
      </c>
    </row>
    <row r="2020" spans="1:9">
      <c r="A2020" s="49">
        <v>45829</v>
      </c>
      <c r="B2020" s="50">
        <v>0.8647800925925926</v>
      </c>
      <c r="C2020" t="s">
        <v>150</v>
      </c>
      <c r="D2020" t="s">
        <v>42</v>
      </c>
      <c r="E2020" t="s">
        <v>212</v>
      </c>
      <c r="F2020" t="s">
        <v>876</v>
      </c>
      <c r="G2020">
        <v>-98000</v>
      </c>
      <c r="H2020" t="s">
        <v>153</v>
      </c>
      <c r="I2020" t="s">
        <v>214</v>
      </c>
    </row>
    <row r="2021" spans="1:9">
      <c r="A2021" s="49">
        <v>45829</v>
      </c>
      <c r="B2021" s="50">
        <v>0.6322222222222222</v>
      </c>
      <c r="C2021" t="s">
        <v>150</v>
      </c>
      <c r="D2021" t="s">
        <v>37</v>
      </c>
      <c r="E2021" t="s">
        <v>438</v>
      </c>
      <c r="F2021" t="s">
        <v>877</v>
      </c>
      <c r="G2021">
        <v>-55000</v>
      </c>
      <c r="H2021" t="s">
        <v>153</v>
      </c>
      <c r="I2021" t="s">
        <v>214</v>
      </c>
    </row>
    <row r="2022" spans="1:9">
      <c r="A2022" s="49">
        <v>45829</v>
      </c>
      <c r="B2022" s="50">
        <v>0.5650925925925926</v>
      </c>
      <c r="C2022" t="s">
        <v>167</v>
      </c>
      <c r="D2022" t="s">
        <v>28</v>
      </c>
      <c r="E2022" t="s">
        <v>32</v>
      </c>
      <c r="F2022" t="s">
        <v>188</v>
      </c>
      <c r="G2022">
        <v>1</v>
      </c>
      <c r="H2022" t="s">
        <v>153</v>
      </c>
      <c r="I2022" t="s">
        <v>60</v>
      </c>
    </row>
    <row r="2023" spans="1:9">
      <c r="A2023" s="49">
        <v>45829</v>
      </c>
      <c r="B2023" s="50">
        <v>0.2977083333333334</v>
      </c>
      <c r="C2023" t="s">
        <v>155</v>
      </c>
      <c r="D2023" t="s">
        <v>155</v>
      </c>
      <c r="E2023" t="s">
        <v>32</v>
      </c>
      <c r="F2023" t="s">
        <v>684</v>
      </c>
      <c r="G2023">
        <v>300000</v>
      </c>
      <c r="H2023" t="s">
        <v>153</v>
      </c>
      <c r="I2023" t="s">
        <v>64</v>
      </c>
    </row>
    <row r="2024" spans="1:9">
      <c r="A2024" s="49">
        <v>45829</v>
      </c>
      <c r="B2024" s="50">
        <v>0.276724537037037</v>
      </c>
      <c r="C2024" t="s">
        <v>155</v>
      </c>
      <c r="D2024" t="s">
        <v>155</v>
      </c>
      <c r="E2024" t="s">
        <v>32</v>
      </c>
      <c r="F2024" t="s">
        <v>803</v>
      </c>
      <c r="G2024">
        <v>300000</v>
      </c>
      <c r="H2024" t="s">
        <v>153</v>
      </c>
      <c r="I2024" t="s">
        <v>64</v>
      </c>
    </row>
    <row r="2025" spans="1:9">
      <c r="A2025" s="49">
        <v>45829</v>
      </c>
      <c r="B2025" s="50">
        <v>0.1488773148148148</v>
      </c>
      <c r="C2025" t="s">
        <v>155</v>
      </c>
      <c r="D2025" t="s">
        <v>32</v>
      </c>
      <c r="E2025" t="s">
        <v>32</v>
      </c>
      <c r="F2025" t="s">
        <v>189</v>
      </c>
      <c r="G2025">
        <v>1</v>
      </c>
      <c r="H2025" t="s">
        <v>153</v>
      </c>
      <c r="I2025" t="s">
        <v>66</v>
      </c>
    </row>
    <row r="2026" spans="1:9">
      <c r="A2026" s="49">
        <v>45829</v>
      </c>
      <c r="B2026" s="50">
        <v>0.1426041666666667</v>
      </c>
      <c r="C2026" t="s">
        <v>155</v>
      </c>
      <c r="D2026" t="s">
        <v>155</v>
      </c>
      <c r="E2026" t="s">
        <v>32</v>
      </c>
      <c r="F2026" t="s">
        <v>246</v>
      </c>
      <c r="G2026">
        <v>-39900</v>
      </c>
      <c r="H2026" t="s">
        <v>153</v>
      </c>
      <c r="I2026" t="s">
        <v>64</v>
      </c>
    </row>
    <row r="2027" spans="1:9">
      <c r="A2027" s="49">
        <v>45829</v>
      </c>
      <c r="B2027" s="50">
        <v>0.06440972222222222</v>
      </c>
      <c r="C2027" t="s">
        <v>167</v>
      </c>
      <c r="D2027" t="s">
        <v>28</v>
      </c>
      <c r="E2027" t="s">
        <v>32</v>
      </c>
      <c r="F2027" t="s">
        <v>878</v>
      </c>
      <c r="G2027">
        <v>0</v>
      </c>
      <c r="H2027" t="s">
        <v>153</v>
      </c>
      <c r="I2027" t="s">
        <v>63</v>
      </c>
    </row>
    <row r="2028" spans="1:9">
      <c r="A2028" s="49">
        <v>45829</v>
      </c>
      <c r="B2028" s="50">
        <v>0.02824074074074074</v>
      </c>
      <c r="C2028" t="s">
        <v>155</v>
      </c>
      <c r="D2028" t="s">
        <v>155</v>
      </c>
      <c r="E2028" t="s">
        <v>32</v>
      </c>
      <c r="F2028" t="s">
        <v>879</v>
      </c>
      <c r="G2028">
        <v>499000</v>
      </c>
      <c r="H2028" t="s">
        <v>153</v>
      </c>
      <c r="I2028" t="s">
        <v>64</v>
      </c>
    </row>
    <row r="2029" spans="1:9">
      <c r="A2029" s="49">
        <v>45828</v>
      </c>
      <c r="B2029" s="50">
        <v>0.9308680555555555</v>
      </c>
      <c r="C2029" t="s">
        <v>155</v>
      </c>
      <c r="D2029" t="s">
        <v>158</v>
      </c>
      <c r="E2029" t="s">
        <v>32</v>
      </c>
      <c r="F2029" t="s">
        <v>159</v>
      </c>
      <c r="G2029">
        <v>33150</v>
      </c>
      <c r="H2029" t="s">
        <v>153</v>
      </c>
      <c r="I2029" t="s">
        <v>157</v>
      </c>
    </row>
    <row r="2030" spans="1:9">
      <c r="A2030" s="49">
        <v>45828</v>
      </c>
      <c r="B2030" s="50">
        <v>0.9308680555555555</v>
      </c>
      <c r="C2030" t="s">
        <v>150</v>
      </c>
      <c r="D2030" t="s">
        <v>36</v>
      </c>
      <c r="E2030" t="s">
        <v>191</v>
      </c>
      <c r="F2030" t="s">
        <v>192</v>
      </c>
      <c r="G2030">
        <v>-40750</v>
      </c>
      <c r="H2030" t="s">
        <v>153</v>
      </c>
      <c r="I2030" t="s">
        <v>157</v>
      </c>
    </row>
    <row r="2031" spans="1:9">
      <c r="A2031" s="49">
        <v>45828</v>
      </c>
      <c r="B2031" s="50">
        <v>0.9308680555555555</v>
      </c>
      <c r="C2031" t="s">
        <v>155</v>
      </c>
      <c r="D2031" t="s">
        <v>158</v>
      </c>
      <c r="E2031" t="s">
        <v>32</v>
      </c>
      <c r="F2031" t="s">
        <v>160</v>
      </c>
      <c r="G2031">
        <v>-33150</v>
      </c>
      <c r="H2031" t="s">
        <v>153</v>
      </c>
      <c r="I2031" t="s">
        <v>64</v>
      </c>
    </row>
    <row r="2032" spans="1:9">
      <c r="A2032" s="49">
        <v>45828</v>
      </c>
      <c r="B2032" s="50">
        <v>0.9305324074074074</v>
      </c>
      <c r="C2032" t="s">
        <v>167</v>
      </c>
      <c r="D2032" t="s">
        <v>28</v>
      </c>
      <c r="E2032" t="s">
        <v>32</v>
      </c>
      <c r="F2032" t="s">
        <v>880</v>
      </c>
      <c r="G2032">
        <v>1</v>
      </c>
      <c r="H2032" t="s">
        <v>153</v>
      </c>
      <c r="I2032" t="s">
        <v>64</v>
      </c>
    </row>
    <row r="2033" spans="1:9">
      <c r="A2033" s="49">
        <v>45828</v>
      </c>
      <c r="B2033" s="50">
        <v>0.9299768518518519</v>
      </c>
      <c r="C2033" t="s">
        <v>167</v>
      </c>
      <c r="D2033" t="s">
        <v>28</v>
      </c>
      <c r="E2033" t="s">
        <v>32</v>
      </c>
      <c r="F2033" t="s">
        <v>881</v>
      </c>
      <c r="G2033">
        <v>1</v>
      </c>
      <c r="H2033" t="s">
        <v>153</v>
      </c>
      <c r="I2033" t="s">
        <v>64</v>
      </c>
    </row>
    <row r="2034" spans="1:9">
      <c r="A2034" s="49">
        <v>45828</v>
      </c>
      <c r="B2034" s="50">
        <v>0.9285763888888889</v>
      </c>
      <c r="C2034" t="s">
        <v>155</v>
      </c>
      <c r="D2034" t="s">
        <v>155</v>
      </c>
      <c r="E2034" t="s">
        <v>32</v>
      </c>
      <c r="F2034" t="s">
        <v>882</v>
      </c>
      <c r="G2034">
        <v>300000</v>
      </c>
      <c r="H2034" t="s">
        <v>153</v>
      </c>
      <c r="I2034" t="s">
        <v>64</v>
      </c>
    </row>
    <row r="2035" spans="1:9">
      <c r="A2035" s="49">
        <v>45828</v>
      </c>
      <c r="B2035" s="50">
        <v>0.9252893518518519</v>
      </c>
      <c r="C2035" t="s">
        <v>167</v>
      </c>
      <c r="D2035" t="s">
        <v>28</v>
      </c>
      <c r="E2035" t="s">
        <v>32</v>
      </c>
      <c r="F2035" t="s">
        <v>883</v>
      </c>
      <c r="G2035">
        <v>1</v>
      </c>
      <c r="H2035" t="s">
        <v>153</v>
      </c>
      <c r="I2035" t="s">
        <v>64</v>
      </c>
    </row>
    <row r="2036" spans="1:9">
      <c r="A2036" s="49">
        <v>45828</v>
      </c>
      <c r="B2036" s="50">
        <v>0.83</v>
      </c>
      <c r="C2036" t="s">
        <v>155</v>
      </c>
      <c r="D2036" t="s">
        <v>155</v>
      </c>
      <c r="E2036" t="s">
        <v>32</v>
      </c>
      <c r="F2036" t="s">
        <v>884</v>
      </c>
      <c r="G2036">
        <v>499000</v>
      </c>
      <c r="H2036" t="s">
        <v>153</v>
      </c>
      <c r="I2036" t="s">
        <v>64</v>
      </c>
    </row>
    <row r="2037" spans="1:9">
      <c r="A2037" s="49">
        <v>45828</v>
      </c>
      <c r="B2037" s="50">
        <v>0.8232407407407407</v>
      </c>
      <c r="C2037" t="s">
        <v>150</v>
      </c>
      <c r="D2037" t="s">
        <v>40</v>
      </c>
      <c r="E2037" t="s">
        <v>223</v>
      </c>
      <c r="F2037" t="s">
        <v>885</v>
      </c>
      <c r="G2037">
        <v>-12100</v>
      </c>
      <c r="H2037" t="s">
        <v>153</v>
      </c>
      <c r="I2037" t="s">
        <v>214</v>
      </c>
    </row>
    <row r="2038" spans="1:9">
      <c r="A2038" s="49">
        <v>45828</v>
      </c>
      <c r="B2038" s="50">
        <v>0.0337037037037037</v>
      </c>
      <c r="C2038" t="s">
        <v>150</v>
      </c>
      <c r="D2038" t="s">
        <v>48</v>
      </c>
      <c r="E2038" t="s">
        <v>185</v>
      </c>
      <c r="F2038" t="s">
        <v>362</v>
      </c>
      <c r="G2038">
        <v>-1000</v>
      </c>
      <c r="H2038" t="s">
        <v>153</v>
      </c>
      <c r="I2038" t="s">
        <v>214</v>
      </c>
    </row>
    <row r="2039" spans="1:9">
      <c r="A2039" s="49">
        <v>45827</v>
      </c>
      <c r="B2039" s="50">
        <v>0.8644328703703704</v>
      </c>
      <c r="C2039" t="s">
        <v>150</v>
      </c>
      <c r="D2039" t="s">
        <v>48</v>
      </c>
      <c r="E2039" t="s">
        <v>185</v>
      </c>
      <c r="F2039" t="s">
        <v>362</v>
      </c>
      <c r="G2039">
        <v>-3500</v>
      </c>
      <c r="H2039" t="s">
        <v>153</v>
      </c>
      <c r="I2039" t="s">
        <v>214</v>
      </c>
    </row>
    <row r="2040" spans="1:9">
      <c r="A2040" s="49">
        <v>45827</v>
      </c>
      <c r="B2040" s="50">
        <v>0.7650694444444445</v>
      </c>
      <c r="C2040" t="s">
        <v>155</v>
      </c>
      <c r="D2040" t="s">
        <v>158</v>
      </c>
      <c r="E2040" t="s">
        <v>32</v>
      </c>
      <c r="F2040" t="s">
        <v>160</v>
      </c>
      <c r="G2040">
        <v>-10000</v>
      </c>
      <c r="H2040" t="s">
        <v>153</v>
      </c>
      <c r="I2040" t="s">
        <v>64</v>
      </c>
    </row>
    <row r="2041" spans="1:9">
      <c r="A2041" s="49">
        <v>45827</v>
      </c>
      <c r="B2041" s="50">
        <v>0.7650578703703703</v>
      </c>
      <c r="C2041" t="s">
        <v>150</v>
      </c>
      <c r="D2041" t="s">
        <v>48</v>
      </c>
      <c r="E2041" t="s">
        <v>185</v>
      </c>
      <c r="F2041" t="s">
        <v>886</v>
      </c>
      <c r="G2041">
        <v>-2400</v>
      </c>
      <c r="H2041" t="s">
        <v>153</v>
      </c>
      <c r="I2041" t="s">
        <v>164</v>
      </c>
    </row>
    <row r="2042" spans="1:9">
      <c r="A2042" s="49">
        <v>45827</v>
      </c>
      <c r="B2042" s="50">
        <v>0.7650578703703703</v>
      </c>
      <c r="C2042" t="s">
        <v>155</v>
      </c>
      <c r="D2042" t="s">
        <v>158</v>
      </c>
      <c r="E2042" t="s">
        <v>32</v>
      </c>
      <c r="F2042" t="s">
        <v>159</v>
      </c>
      <c r="G2042">
        <v>10000</v>
      </c>
      <c r="H2042" t="s">
        <v>153</v>
      </c>
      <c r="I2042" t="s">
        <v>157</v>
      </c>
    </row>
    <row r="2043" spans="1:9">
      <c r="A2043" s="49">
        <v>45827</v>
      </c>
      <c r="B2043" s="50">
        <v>0.6338541666666667</v>
      </c>
      <c r="C2043" t="s">
        <v>150</v>
      </c>
      <c r="D2043" t="s">
        <v>42</v>
      </c>
      <c r="E2043" t="s">
        <v>151</v>
      </c>
      <c r="F2043" t="s">
        <v>152</v>
      </c>
      <c r="G2043">
        <v>-14500</v>
      </c>
      <c r="H2043" t="s">
        <v>153</v>
      </c>
      <c r="I2043" t="s">
        <v>64</v>
      </c>
    </row>
    <row r="2044" spans="1:9">
      <c r="A2044" s="49">
        <v>45827</v>
      </c>
      <c r="B2044" s="50">
        <v>0.5232407407407408</v>
      </c>
      <c r="C2044" t="s">
        <v>155</v>
      </c>
      <c r="D2044" t="s">
        <v>155</v>
      </c>
      <c r="E2044" t="s">
        <v>32</v>
      </c>
      <c r="F2044" t="s">
        <v>160</v>
      </c>
      <c r="G2044">
        <v>-800000</v>
      </c>
      <c r="H2044" t="s">
        <v>153</v>
      </c>
      <c r="I2044" t="s">
        <v>64</v>
      </c>
    </row>
    <row r="2045" spans="1:9">
      <c r="A2045" s="49">
        <v>45827</v>
      </c>
      <c r="B2045" s="50">
        <v>0.5213078703703704</v>
      </c>
      <c r="C2045" t="s">
        <v>155</v>
      </c>
      <c r="D2045" t="s">
        <v>241</v>
      </c>
      <c r="E2045" t="s">
        <v>32</v>
      </c>
      <c r="F2045" t="s">
        <v>887</v>
      </c>
      <c r="G2045">
        <v>234600</v>
      </c>
      <c r="H2045" t="s">
        <v>153</v>
      </c>
      <c r="I2045" t="s">
        <v>64</v>
      </c>
    </row>
    <row r="2046" spans="1:9">
      <c r="A2046" s="49">
        <v>45827</v>
      </c>
      <c r="B2046" s="50">
        <v>0.5089351851851852</v>
      </c>
      <c r="C2046" t="s">
        <v>155</v>
      </c>
      <c r="D2046" t="s">
        <v>158</v>
      </c>
      <c r="E2046" t="s">
        <v>32</v>
      </c>
      <c r="F2046" t="s">
        <v>159</v>
      </c>
      <c r="G2046">
        <v>40913</v>
      </c>
      <c r="H2046" t="s">
        <v>153</v>
      </c>
      <c r="I2046" t="s">
        <v>157</v>
      </c>
    </row>
    <row r="2047" spans="1:9">
      <c r="A2047" s="49">
        <v>45827</v>
      </c>
      <c r="B2047" s="50">
        <v>0.5089351851851852</v>
      </c>
      <c r="C2047" t="s">
        <v>155</v>
      </c>
      <c r="D2047" t="s">
        <v>155</v>
      </c>
      <c r="E2047" t="s">
        <v>32</v>
      </c>
      <c r="F2047" t="s">
        <v>888</v>
      </c>
      <c r="G2047">
        <v>-42000</v>
      </c>
      <c r="H2047" t="s">
        <v>153</v>
      </c>
      <c r="I2047" t="s">
        <v>157</v>
      </c>
    </row>
    <row r="2048" spans="1:9">
      <c r="A2048" s="49">
        <v>45827</v>
      </c>
      <c r="B2048" s="50">
        <v>0.5089351851851852</v>
      </c>
      <c r="C2048" t="s">
        <v>155</v>
      </c>
      <c r="D2048" t="s">
        <v>158</v>
      </c>
      <c r="E2048" t="s">
        <v>32</v>
      </c>
      <c r="F2048" t="s">
        <v>160</v>
      </c>
      <c r="G2048">
        <v>-40913</v>
      </c>
      <c r="H2048" t="s">
        <v>153</v>
      </c>
      <c r="I2048" t="s">
        <v>64</v>
      </c>
    </row>
    <row r="2049" spans="1:9">
      <c r="A2049" s="49">
        <v>45827</v>
      </c>
      <c r="B2049" s="50">
        <v>0.4926157407407407</v>
      </c>
      <c r="C2049" t="s">
        <v>155</v>
      </c>
      <c r="D2049" t="s">
        <v>241</v>
      </c>
      <c r="E2049" t="s">
        <v>32</v>
      </c>
      <c r="F2049" t="s">
        <v>887</v>
      </c>
      <c r="G2049">
        <v>832500</v>
      </c>
      <c r="H2049" t="s">
        <v>153</v>
      </c>
      <c r="I2049" t="s">
        <v>64</v>
      </c>
    </row>
    <row r="2050" spans="1:9">
      <c r="A2050" s="49">
        <v>45827</v>
      </c>
      <c r="B2050" s="50">
        <v>0.3057986111111111</v>
      </c>
      <c r="C2050" t="s">
        <v>155</v>
      </c>
      <c r="D2050" t="s">
        <v>155</v>
      </c>
      <c r="E2050" t="s">
        <v>32</v>
      </c>
      <c r="F2050" t="s">
        <v>889</v>
      </c>
      <c r="G2050">
        <v>499000</v>
      </c>
      <c r="H2050" t="s">
        <v>153</v>
      </c>
      <c r="I2050" t="s">
        <v>64</v>
      </c>
    </row>
    <row r="2051" spans="1:9">
      <c r="A2051" s="49">
        <v>45827</v>
      </c>
      <c r="B2051" s="50">
        <v>0.2640972222222222</v>
      </c>
      <c r="C2051" t="s">
        <v>150</v>
      </c>
      <c r="D2051" t="s">
        <v>37</v>
      </c>
      <c r="E2051" t="s">
        <v>201</v>
      </c>
      <c r="F2051" t="s">
        <v>890</v>
      </c>
      <c r="G2051">
        <v>-171226</v>
      </c>
      <c r="H2051" t="s">
        <v>153</v>
      </c>
      <c r="I2051" t="s">
        <v>214</v>
      </c>
    </row>
    <row r="2052" spans="1:9">
      <c r="A2052" s="49">
        <v>45827</v>
      </c>
      <c r="B2052" s="50">
        <v>0.2373263888888889</v>
      </c>
      <c r="C2052" t="s">
        <v>150</v>
      </c>
      <c r="D2052" t="s">
        <v>44</v>
      </c>
      <c r="E2052" t="s">
        <v>260</v>
      </c>
      <c r="F2052" t="s">
        <v>261</v>
      </c>
      <c r="G2052">
        <v>-30000</v>
      </c>
      <c r="H2052" t="s">
        <v>153</v>
      </c>
      <c r="I2052" t="s">
        <v>64</v>
      </c>
    </row>
    <row r="2053" spans="1:9">
      <c r="A2053" s="49">
        <v>45827</v>
      </c>
      <c r="B2053" s="50">
        <v>0.1064236111111111</v>
      </c>
      <c r="C2053" t="s">
        <v>155</v>
      </c>
      <c r="D2053" t="s">
        <v>155</v>
      </c>
      <c r="E2053" t="s">
        <v>32</v>
      </c>
      <c r="F2053" t="s">
        <v>246</v>
      </c>
      <c r="G2053">
        <v>-23600</v>
      </c>
      <c r="H2053" t="s">
        <v>153</v>
      </c>
      <c r="I2053" t="s">
        <v>64</v>
      </c>
    </row>
    <row r="2054" spans="1:9">
      <c r="A2054" s="49">
        <v>45827</v>
      </c>
      <c r="B2054" s="50">
        <v>0.1005208333333333</v>
      </c>
      <c r="C2054" t="s">
        <v>155</v>
      </c>
      <c r="D2054" t="s">
        <v>155</v>
      </c>
      <c r="E2054" t="s">
        <v>32</v>
      </c>
      <c r="F2054" t="s">
        <v>246</v>
      </c>
      <c r="G2054">
        <v>-18720</v>
      </c>
      <c r="H2054" t="s">
        <v>153</v>
      </c>
      <c r="I2054" t="s">
        <v>64</v>
      </c>
    </row>
    <row r="2055" spans="1:9">
      <c r="A2055" s="49">
        <v>45827</v>
      </c>
      <c r="B2055" s="50">
        <v>0.0921412037037037</v>
      </c>
      <c r="C2055" t="s">
        <v>150</v>
      </c>
      <c r="D2055" t="s">
        <v>44</v>
      </c>
      <c r="E2055" t="s">
        <v>162</v>
      </c>
      <c r="F2055" t="s">
        <v>887</v>
      </c>
      <c r="G2055">
        <v>832500</v>
      </c>
      <c r="H2055" t="s">
        <v>153</v>
      </c>
      <c r="I2055" t="s">
        <v>171</v>
      </c>
    </row>
    <row r="2056" spans="1:9">
      <c r="A2056" s="49">
        <v>45827</v>
      </c>
      <c r="B2056" s="50">
        <v>0.0920949074074074</v>
      </c>
      <c r="C2056" t="s">
        <v>150</v>
      </c>
      <c r="D2056" t="s">
        <v>40</v>
      </c>
      <c r="E2056" t="s">
        <v>172</v>
      </c>
      <c r="F2056" t="s">
        <v>173</v>
      </c>
      <c r="G2056">
        <v>-832500</v>
      </c>
      <c r="H2056" t="s">
        <v>153</v>
      </c>
      <c r="I2056" t="s">
        <v>64</v>
      </c>
    </row>
    <row r="2057" spans="1:9">
      <c r="A2057" s="49">
        <v>45826</v>
      </c>
      <c r="B2057" s="50">
        <v>0.5552314814814815</v>
      </c>
      <c r="C2057" t="s">
        <v>150</v>
      </c>
      <c r="D2057" t="s">
        <v>35</v>
      </c>
      <c r="E2057" t="s">
        <v>169</v>
      </c>
      <c r="F2057" t="s">
        <v>170</v>
      </c>
      <c r="G2057">
        <v>-2760</v>
      </c>
      <c r="H2057" t="s">
        <v>153</v>
      </c>
      <c r="I2057" t="s">
        <v>171</v>
      </c>
    </row>
    <row r="2058" spans="1:9">
      <c r="A2058" s="49">
        <v>45826</v>
      </c>
      <c r="B2058" s="50">
        <v>0.5552199074074075</v>
      </c>
      <c r="C2058" t="s">
        <v>167</v>
      </c>
      <c r="D2058" t="s">
        <v>31</v>
      </c>
      <c r="E2058" t="s">
        <v>32</v>
      </c>
      <c r="F2058" t="s">
        <v>168</v>
      </c>
      <c r="G2058">
        <v>3000</v>
      </c>
      <c r="H2058" t="s">
        <v>153</v>
      </c>
      <c r="I2058" t="s">
        <v>64</v>
      </c>
    </row>
    <row r="2059" spans="1:9">
      <c r="A2059" s="49">
        <v>45826</v>
      </c>
      <c r="B2059" s="50">
        <v>0.5474305555555555</v>
      </c>
      <c r="C2059" t="s">
        <v>150</v>
      </c>
      <c r="D2059" t="s">
        <v>35</v>
      </c>
      <c r="E2059" t="s">
        <v>169</v>
      </c>
      <c r="F2059" t="s">
        <v>170</v>
      </c>
      <c r="G2059">
        <v>3000</v>
      </c>
      <c r="H2059" t="s">
        <v>153</v>
      </c>
      <c r="I2059" t="s">
        <v>171</v>
      </c>
    </row>
    <row r="2060" spans="1:9">
      <c r="A2060" s="49">
        <v>45826</v>
      </c>
      <c r="B2060" s="50">
        <v>0.5474305555555555</v>
      </c>
      <c r="C2060" t="s">
        <v>150</v>
      </c>
      <c r="D2060" t="s">
        <v>40</v>
      </c>
      <c r="E2060" t="s">
        <v>172</v>
      </c>
      <c r="F2060" t="s">
        <v>173</v>
      </c>
      <c r="G2060">
        <v>-3000</v>
      </c>
      <c r="H2060" t="s">
        <v>153</v>
      </c>
      <c r="I2060" t="s">
        <v>64</v>
      </c>
    </row>
    <row r="2061" spans="1:9">
      <c r="A2061" s="49">
        <v>45826</v>
      </c>
      <c r="B2061" s="50">
        <v>0.06778935185185185</v>
      </c>
      <c r="C2061" t="s">
        <v>150</v>
      </c>
      <c r="D2061" t="s">
        <v>37</v>
      </c>
      <c r="E2061" t="s">
        <v>486</v>
      </c>
      <c r="F2061" t="s">
        <v>891</v>
      </c>
      <c r="G2061">
        <v>-2000</v>
      </c>
      <c r="H2061" t="s">
        <v>153</v>
      </c>
      <c r="I2061" t="s">
        <v>214</v>
      </c>
    </row>
    <row r="2062" spans="1:9">
      <c r="A2062" s="49">
        <v>45825</v>
      </c>
      <c r="B2062" s="50">
        <v>0.8654398148148148</v>
      </c>
      <c r="C2062" t="s">
        <v>150</v>
      </c>
      <c r="D2062" t="s">
        <v>37</v>
      </c>
      <c r="E2062" t="s">
        <v>486</v>
      </c>
      <c r="F2062" t="s">
        <v>891</v>
      </c>
      <c r="G2062">
        <v>-9000</v>
      </c>
      <c r="H2062" t="s">
        <v>153</v>
      </c>
      <c r="I2062" t="s">
        <v>214</v>
      </c>
    </row>
    <row r="2063" spans="1:9">
      <c r="A2063" s="49">
        <v>45825</v>
      </c>
      <c r="B2063" s="50">
        <v>0.728287037037037</v>
      </c>
      <c r="C2063" t="s">
        <v>150</v>
      </c>
      <c r="D2063" t="s">
        <v>37</v>
      </c>
      <c r="E2063" t="s">
        <v>486</v>
      </c>
      <c r="F2063" t="s">
        <v>891</v>
      </c>
      <c r="G2063">
        <v>-10000</v>
      </c>
      <c r="H2063" t="s">
        <v>153</v>
      </c>
      <c r="I2063" t="s">
        <v>164</v>
      </c>
    </row>
    <row r="2064" spans="1:9">
      <c r="A2064" s="49">
        <v>45825</v>
      </c>
      <c r="B2064" s="50">
        <v>0.7002430555555555</v>
      </c>
      <c r="C2064" t="s">
        <v>150</v>
      </c>
      <c r="D2064" t="s">
        <v>35</v>
      </c>
      <c r="E2064" t="s">
        <v>169</v>
      </c>
      <c r="F2064" t="s">
        <v>739</v>
      </c>
      <c r="G2064">
        <v>-1977</v>
      </c>
      <c r="H2064" t="s">
        <v>153</v>
      </c>
      <c r="I2064" t="s">
        <v>164</v>
      </c>
    </row>
    <row r="2065" spans="1:9">
      <c r="A2065" s="49">
        <v>45825</v>
      </c>
      <c r="B2065" s="50">
        <v>0.6358333333333334</v>
      </c>
      <c r="C2065" t="s">
        <v>150</v>
      </c>
      <c r="D2065" t="s">
        <v>44</v>
      </c>
      <c r="E2065" t="s">
        <v>260</v>
      </c>
      <c r="F2065" t="s">
        <v>261</v>
      </c>
      <c r="G2065">
        <v>-20000</v>
      </c>
      <c r="H2065" t="s">
        <v>153</v>
      </c>
      <c r="I2065" t="s">
        <v>64</v>
      </c>
    </row>
    <row r="2066" spans="1:9">
      <c r="A2066" s="49">
        <v>45825</v>
      </c>
      <c r="B2066" s="50">
        <v>0.6312152777777778</v>
      </c>
      <c r="C2066" t="s">
        <v>167</v>
      </c>
      <c r="D2066" t="s">
        <v>31</v>
      </c>
      <c r="E2066" t="s">
        <v>32</v>
      </c>
      <c r="F2066" t="s">
        <v>168</v>
      </c>
      <c r="G2066">
        <v>3000</v>
      </c>
      <c r="H2066" t="s">
        <v>153</v>
      </c>
      <c r="I2066" t="s">
        <v>64</v>
      </c>
    </row>
    <row r="2067" spans="1:9">
      <c r="A2067" s="49">
        <v>45825</v>
      </c>
      <c r="B2067" s="50">
        <v>0.6311921296296297</v>
      </c>
      <c r="C2067" t="s">
        <v>150</v>
      </c>
      <c r="D2067" t="s">
        <v>35</v>
      </c>
      <c r="E2067" t="s">
        <v>169</v>
      </c>
      <c r="F2067" t="s">
        <v>170</v>
      </c>
      <c r="G2067">
        <v>-1380</v>
      </c>
      <c r="H2067" t="s">
        <v>153</v>
      </c>
      <c r="I2067" t="s">
        <v>171</v>
      </c>
    </row>
    <row r="2068" spans="1:9">
      <c r="A2068" s="49">
        <v>45825</v>
      </c>
      <c r="B2068" s="50">
        <v>0.6273726851851852</v>
      </c>
      <c r="C2068" t="s">
        <v>150</v>
      </c>
      <c r="D2068" t="s">
        <v>35</v>
      </c>
      <c r="E2068" t="s">
        <v>169</v>
      </c>
      <c r="F2068" t="s">
        <v>170</v>
      </c>
      <c r="G2068">
        <v>3000</v>
      </c>
      <c r="H2068" t="s">
        <v>153</v>
      </c>
      <c r="I2068" t="s">
        <v>171</v>
      </c>
    </row>
    <row r="2069" spans="1:9">
      <c r="A2069" s="49">
        <v>45825</v>
      </c>
      <c r="B2069" s="50">
        <v>0.6273726851851852</v>
      </c>
      <c r="C2069" t="s">
        <v>150</v>
      </c>
      <c r="D2069" t="s">
        <v>40</v>
      </c>
      <c r="E2069" t="s">
        <v>172</v>
      </c>
      <c r="F2069" t="s">
        <v>173</v>
      </c>
      <c r="G2069">
        <v>-3000</v>
      </c>
      <c r="H2069" t="s">
        <v>153</v>
      </c>
      <c r="I2069" t="s">
        <v>64</v>
      </c>
    </row>
    <row r="2070" spans="1:9">
      <c r="A2070" s="49">
        <v>45825</v>
      </c>
      <c r="B2070" s="50">
        <v>0.6243981481481482</v>
      </c>
      <c r="C2070" t="s">
        <v>167</v>
      </c>
      <c r="D2070" t="s">
        <v>31</v>
      </c>
      <c r="E2070" t="s">
        <v>32</v>
      </c>
      <c r="F2070" t="s">
        <v>168</v>
      </c>
      <c r="G2070">
        <v>3000</v>
      </c>
      <c r="H2070" t="s">
        <v>153</v>
      </c>
      <c r="I2070" t="s">
        <v>64</v>
      </c>
    </row>
    <row r="2071" spans="1:9">
      <c r="A2071" s="49">
        <v>45825</v>
      </c>
      <c r="B2071" s="50">
        <v>0.6243518518518518</v>
      </c>
      <c r="C2071" t="s">
        <v>150</v>
      </c>
      <c r="D2071" t="s">
        <v>35</v>
      </c>
      <c r="E2071" t="s">
        <v>169</v>
      </c>
      <c r="F2071" t="s">
        <v>170</v>
      </c>
      <c r="G2071">
        <v>-690</v>
      </c>
      <c r="H2071" t="s">
        <v>153</v>
      </c>
      <c r="I2071" t="s">
        <v>171</v>
      </c>
    </row>
    <row r="2072" spans="1:9">
      <c r="A2072" s="49">
        <v>45825</v>
      </c>
      <c r="B2072" s="50">
        <v>0.6225231481481481</v>
      </c>
      <c r="C2072" t="s">
        <v>150</v>
      </c>
      <c r="D2072" t="s">
        <v>35</v>
      </c>
      <c r="E2072" t="s">
        <v>169</v>
      </c>
      <c r="F2072" t="s">
        <v>170</v>
      </c>
      <c r="G2072">
        <v>3000</v>
      </c>
      <c r="H2072" t="s">
        <v>153</v>
      </c>
      <c r="I2072" t="s">
        <v>171</v>
      </c>
    </row>
    <row r="2073" spans="1:9">
      <c r="A2073" s="49">
        <v>45825</v>
      </c>
      <c r="B2073" s="50">
        <v>0.6225231481481481</v>
      </c>
      <c r="C2073" t="s">
        <v>150</v>
      </c>
      <c r="D2073" t="s">
        <v>40</v>
      </c>
      <c r="E2073" t="s">
        <v>172</v>
      </c>
      <c r="F2073" t="s">
        <v>173</v>
      </c>
      <c r="G2073">
        <v>-3000</v>
      </c>
      <c r="H2073" t="s">
        <v>153</v>
      </c>
      <c r="I2073" t="s">
        <v>64</v>
      </c>
    </row>
    <row r="2074" spans="1:9">
      <c r="A2074" s="49">
        <v>45825</v>
      </c>
      <c r="B2074" s="50">
        <v>0.5051851851851852</v>
      </c>
      <c r="C2074" t="s">
        <v>155</v>
      </c>
      <c r="D2074" t="s">
        <v>155</v>
      </c>
      <c r="E2074" t="s">
        <v>32</v>
      </c>
      <c r="F2074" t="s">
        <v>892</v>
      </c>
      <c r="G2074">
        <v>499000</v>
      </c>
      <c r="H2074" t="s">
        <v>153</v>
      </c>
      <c r="I2074" t="s">
        <v>64</v>
      </c>
    </row>
    <row r="2075" spans="1:9">
      <c r="A2075" s="49">
        <v>45825</v>
      </c>
      <c r="B2075" s="50">
        <v>0.0197337962962963</v>
      </c>
      <c r="C2075" t="s">
        <v>150</v>
      </c>
      <c r="D2075" t="s">
        <v>35</v>
      </c>
      <c r="E2075" t="s">
        <v>174</v>
      </c>
      <c r="F2075" t="s">
        <v>314</v>
      </c>
      <c r="G2075">
        <v>-20000</v>
      </c>
      <c r="H2075" t="s">
        <v>153</v>
      </c>
      <c r="I2075" t="s">
        <v>64</v>
      </c>
    </row>
    <row r="2076" spans="1:9">
      <c r="A2076" s="49">
        <v>45824</v>
      </c>
      <c r="B2076" s="50">
        <v>0.6983333333333334</v>
      </c>
      <c r="C2076" t="s">
        <v>155</v>
      </c>
      <c r="D2076" t="s">
        <v>155</v>
      </c>
      <c r="E2076" t="s">
        <v>32</v>
      </c>
      <c r="F2076" t="s">
        <v>893</v>
      </c>
      <c r="G2076">
        <v>300000</v>
      </c>
      <c r="H2076" t="s">
        <v>153</v>
      </c>
      <c r="I2076" t="s">
        <v>64</v>
      </c>
    </row>
    <row r="2077" spans="1:9">
      <c r="A2077" s="49">
        <v>45824</v>
      </c>
      <c r="B2077" s="50">
        <v>0.6477430555555556</v>
      </c>
      <c r="C2077" t="s">
        <v>150</v>
      </c>
      <c r="D2077" t="s">
        <v>35</v>
      </c>
      <c r="E2077" t="s">
        <v>169</v>
      </c>
      <c r="F2077" t="s">
        <v>739</v>
      </c>
      <c r="G2077">
        <v>-1212</v>
      </c>
      <c r="H2077" t="s">
        <v>153</v>
      </c>
      <c r="I2077" t="s">
        <v>164</v>
      </c>
    </row>
    <row r="2078" spans="1:9">
      <c r="A2078" s="49">
        <v>45823</v>
      </c>
      <c r="B2078" s="50">
        <v>0.9616435185185185</v>
      </c>
      <c r="C2078" t="s">
        <v>155</v>
      </c>
      <c r="D2078" t="s">
        <v>155</v>
      </c>
      <c r="E2078" t="s">
        <v>32</v>
      </c>
      <c r="F2078" t="s">
        <v>246</v>
      </c>
      <c r="G2078">
        <v>-6480</v>
      </c>
      <c r="H2078" t="s">
        <v>153</v>
      </c>
      <c r="I2078" t="s">
        <v>64</v>
      </c>
    </row>
    <row r="2079" spans="1:9">
      <c r="A2079" s="49">
        <v>45823</v>
      </c>
      <c r="B2079" s="50">
        <v>0.9273148148148148</v>
      </c>
      <c r="C2079" t="s">
        <v>155</v>
      </c>
      <c r="D2079" t="s">
        <v>155</v>
      </c>
      <c r="E2079" t="s">
        <v>32</v>
      </c>
      <c r="F2079" t="s">
        <v>894</v>
      </c>
      <c r="G2079">
        <v>499000</v>
      </c>
      <c r="H2079" t="s">
        <v>153</v>
      </c>
      <c r="I2079" t="s">
        <v>64</v>
      </c>
    </row>
    <row r="2080" spans="1:9">
      <c r="A2080" s="49">
        <v>45822</v>
      </c>
      <c r="B2080" s="50">
        <v>0.5897800925925926</v>
      </c>
      <c r="C2080" t="s">
        <v>167</v>
      </c>
      <c r="D2080" t="s">
        <v>31</v>
      </c>
      <c r="E2080" t="s">
        <v>32</v>
      </c>
      <c r="F2080" t="s">
        <v>168</v>
      </c>
      <c r="G2080">
        <v>3000</v>
      </c>
      <c r="H2080" t="s">
        <v>153</v>
      </c>
      <c r="I2080" t="s">
        <v>64</v>
      </c>
    </row>
    <row r="2081" spans="1:9">
      <c r="A2081" s="49">
        <v>45822</v>
      </c>
      <c r="B2081" s="50">
        <v>0.5897685185185185</v>
      </c>
      <c r="C2081" t="s">
        <v>150</v>
      </c>
      <c r="D2081" t="s">
        <v>35</v>
      </c>
      <c r="E2081" t="s">
        <v>169</v>
      </c>
      <c r="F2081" t="s">
        <v>170</v>
      </c>
      <c r="G2081">
        <v>-2070</v>
      </c>
      <c r="H2081" t="s">
        <v>153</v>
      </c>
      <c r="I2081" t="s">
        <v>171</v>
      </c>
    </row>
    <row r="2082" spans="1:9">
      <c r="A2082" s="49">
        <v>45822</v>
      </c>
      <c r="B2082" s="50">
        <v>0.5839930555555556</v>
      </c>
      <c r="C2082" t="s">
        <v>150</v>
      </c>
      <c r="D2082" t="s">
        <v>35</v>
      </c>
      <c r="E2082" t="s">
        <v>169</v>
      </c>
      <c r="F2082" t="s">
        <v>170</v>
      </c>
      <c r="G2082">
        <v>3000</v>
      </c>
      <c r="H2082" t="s">
        <v>153</v>
      </c>
      <c r="I2082" t="s">
        <v>171</v>
      </c>
    </row>
    <row r="2083" spans="1:9">
      <c r="A2083" s="49">
        <v>45822</v>
      </c>
      <c r="B2083" s="50">
        <v>0.5839930555555556</v>
      </c>
      <c r="C2083" t="s">
        <v>150</v>
      </c>
      <c r="D2083" t="s">
        <v>40</v>
      </c>
      <c r="E2083" t="s">
        <v>172</v>
      </c>
      <c r="F2083" t="s">
        <v>173</v>
      </c>
      <c r="G2083">
        <v>-3000</v>
      </c>
      <c r="H2083" t="s">
        <v>153</v>
      </c>
      <c r="I2083" t="s">
        <v>64</v>
      </c>
    </row>
    <row r="2084" spans="1:9">
      <c r="A2084" s="49">
        <v>45822</v>
      </c>
      <c r="B2084" s="50">
        <v>0.4278009259259259</v>
      </c>
      <c r="C2084" t="s">
        <v>167</v>
      </c>
      <c r="D2084" t="s">
        <v>31</v>
      </c>
      <c r="E2084" t="s">
        <v>32</v>
      </c>
      <c r="F2084" t="s">
        <v>168</v>
      </c>
      <c r="G2084">
        <v>3000</v>
      </c>
      <c r="H2084" t="s">
        <v>153</v>
      </c>
      <c r="I2084" t="s">
        <v>64</v>
      </c>
    </row>
    <row r="2085" spans="1:9">
      <c r="A2085" s="49">
        <v>45822</v>
      </c>
      <c r="B2085" s="50">
        <v>0.4271180555555555</v>
      </c>
      <c r="C2085" t="s">
        <v>150</v>
      </c>
      <c r="D2085" t="s">
        <v>35</v>
      </c>
      <c r="E2085" t="s">
        <v>169</v>
      </c>
      <c r="F2085" t="s">
        <v>170</v>
      </c>
      <c r="G2085">
        <v>-230</v>
      </c>
      <c r="H2085" t="s">
        <v>153</v>
      </c>
      <c r="I2085" t="s">
        <v>171</v>
      </c>
    </row>
    <row r="2086" spans="1:9">
      <c r="A2086" s="49">
        <v>45822</v>
      </c>
      <c r="B2086" s="50">
        <v>0.4269328703703704</v>
      </c>
      <c r="C2086" t="s">
        <v>150</v>
      </c>
      <c r="D2086" t="s">
        <v>35</v>
      </c>
      <c r="E2086" t="s">
        <v>169</v>
      </c>
      <c r="F2086" t="s">
        <v>170</v>
      </c>
      <c r="G2086">
        <v>3000</v>
      </c>
      <c r="H2086" t="s">
        <v>153</v>
      </c>
      <c r="I2086" t="s">
        <v>171</v>
      </c>
    </row>
    <row r="2087" spans="1:9">
      <c r="A2087" s="49">
        <v>45822</v>
      </c>
      <c r="B2087" s="50">
        <v>0.4269328703703704</v>
      </c>
      <c r="C2087" t="s">
        <v>150</v>
      </c>
      <c r="D2087" t="s">
        <v>40</v>
      </c>
      <c r="E2087" t="s">
        <v>172</v>
      </c>
      <c r="F2087" t="s">
        <v>173</v>
      </c>
      <c r="G2087">
        <v>-3000</v>
      </c>
      <c r="H2087" t="s">
        <v>153</v>
      </c>
      <c r="I2087" t="s">
        <v>64</v>
      </c>
    </row>
    <row r="2088" spans="1:9">
      <c r="A2088" s="49">
        <v>45822</v>
      </c>
      <c r="B2088" s="50">
        <v>0.4268634259259259</v>
      </c>
      <c r="C2088" t="s">
        <v>150</v>
      </c>
      <c r="D2088" t="s">
        <v>35</v>
      </c>
      <c r="E2088" t="s">
        <v>169</v>
      </c>
      <c r="F2088" t="s">
        <v>170</v>
      </c>
      <c r="G2088">
        <v>-690</v>
      </c>
      <c r="H2088" t="s">
        <v>153</v>
      </c>
      <c r="I2088" t="s">
        <v>171</v>
      </c>
    </row>
    <row r="2089" spans="1:9">
      <c r="A2089" s="49">
        <v>45822</v>
      </c>
      <c r="B2089" s="50">
        <v>0.424849537037037</v>
      </c>
      <c r="C2089" t="s">
        <v>150</v>
      </c>
      <c r="D2089" t="s">
        <v>35</v>
      </c>
      <c r="E2089" t="s">
        <v>169</v>
      </c>
      <c r="F2089" t="s">
        <v>170</v>
      </c>
      <c r="G2089">
        <v>3000</v>
      </c>
      <c r="H2089" t="s">
        <v>153</v>
      </c>
      <c r="I2089" t="s">
        <v>171</v>
      </c>
    </row>
    <row r="2090" spans="1:9">
      <c r="A2090" s="49">
        <v>45822</v>
      </c>
      <c r="B2090" s="50">
        <v>0.424849537037037</v>
      </c>
      <c r="C2090" t="s">
        <v>150</v>
      </c>
      <c r="D2090" t="s">
        <v>40</v>
      </c>
      <c r="E2090" t="s">
        <v>172</v>
      </c>
      <c r="F2090" t="s">
        <v>173</v>
      </c>
      <c r="G2090">
        <v>-3000</v>
      </c>
      <c r="H2090" t="s">
        <v>153</v>
      </c>
      <c r="I2090" t="s">
        <v>64</v>
      </c>
    </row>
    <row r="2091" spans="1:9">
      <c r="A2091" s="49">
        <v>45822</v>
      </c>
      <c r="B2091" s="50">
        <v>0.4238888888888889</v>
      </c>
      <c r="C2091" t="s">
        <v>150</v>
      </c>
      <c r="D2091" t="s">
        <v>35</v>
      </c>
      <c r="E2091" t="s">
        <v>169</v>
      </c>
      <c r="F2091" t="s">
        <v>170</v>
      </c>
      <c r="G2091">
        <v>-230</v>
      </c>
      <c r="H2091" t="s">
        <v>153</v>
      </c>
      <c r="I2091" t="s">
        <v>171</v>
      </c>
    </row>
    <row r="2092" spans="1:9">
      <c r="A2092" s="49">
        <v>45822</v>
      </c>
      <c r="B2092" s="50">
        <v>0.423599537037037</v>
      </c>
      <c r="C2092" t="s">
        <v>150</v>
      </c>
      <c r="D2092" t="s">
        <v>35</v>
      </c>
      <c r="E2092" t="s">
        <v>169</v>
      </c>
      <c r="F2092" t="s">
        <v>170</v>
      </c>
      <c r="G2092">
        <v>3000</v>
      </c>
      <c r="H2092" t="s">
        <v>153</v>
      </c>
      <c r="I2092" t="s">
        <v>171</v>
      </c>
    </row>
    <row r="2093" spans="1:9">
      <c r="A2093" s="49">
        <v>45822</v>
      </c>
      <c r="B2093" s="50">
        <v>0.423587962962963</v>
      </c>
      <c r="C2093" t="s">
        <v>150</v>
      </c>
      <c r="D2093" t="s">
        <v>40</v>
      </c>
      <c r="E2093" t="s">
        <v>172</v>
      </c>
      <c r="F2093" t="s">
        <v>173</v>
      </c>
      <c r="G2093">
        <v>-3000</v>
      </c>
      <c r="H2093" t="s">
        <v>153</v>
      </c>
      <c r="I2093" t="s">
        <v>64</v>
      </c>
    </row>
    <row r="2094" spans="1:9">
      <c r="A2094" s="49">
        <v>45822</v>
      </c>
      <c r="B2094" s="50">
        <v>0.423275462962963</v>
      </c>
      <c r="C2094" t="s">
        <v>150</v>
      </c>
      <c r="D2094" t="s">
        <v>35</v>
      </c>
      <c r="E2094" t="s">
        <v>169</v>
      </c>
      <c r="F2094" t="s">
        <v>170</v>
      </c>
      <c r="G2094">
        <v>3000</v>
      </c>
      <c r="H2094" t="s">
        <v>153</v>
      </c>
      <c r="I2094" t="s">
        <v>171</v>
      </c>
    </row>
    <row r="2095" spans="1:9">
      <c r="A2095" s="49">
        <v>45822</v>
      </c>
      <c r="B2095" s="50">
        <v>0.423275462962963</v>
      </c>
      <c r="C2095" t="s">
        <v>150</v>
      </c>
      <c r="D2095" t="s">
        <v>40</v>
      </c>
      <c r="E2095" t="s">
        <v>172</v>
      </c>
      <c r="F2095" t="s">
        <v>173</v>
      </c>
      <c r="G2095">
        <v>-3000</v>
      </c>
      <c r="H2095" t="s">
        <v>153</v>
      </c>
      <c r="I2095" t="s">
        <v>64</v>
      </c>
    </row>
    <row r="2096" spans="1:9">
      <c r="A2096" s="49">
        <v>45822</v>
      </c>
      <c r="B2096" s="50">
        <v>0.3954166666666667</v>
      </c>
      <c r="C2096" t="s">
        <v>150</v>
      </c>
      <c r="D2096" t="s">
        <v>44</v>
      </c>
      <c r="E2096" t="s">
        <v>162</v>
      </c>
      <c r="F2096" t="s">
        <v>163</v>
      </c>
      <c r="G2096">
        <v>-3900</v>
      </c>
      <c r="H2096" t="s">
        <v>153</v>
      </c>
      <c r="I2096" t="s">
        <v>164</v>
      </c>
    </row>
    <row r="2097" spans="1:9">
      <c r="A2097" s="49">
        <v>45822</v>
      </c>
      <c r="B2097" s="50">
        <v>0.03075231481481482</v>
      </c>
      <c r="C2097" t="s">
        <v>150</v>
      </c>
      <c r="D2097" t="s">
        <v>35</v>
      </c>
      <c r="E2097" t="s">
        <v>174</v>
      </c>
      <c r="F2097" t="s">
        <v>314</v>
      </c>
      <c r="G2097">
        <v>-10000</v>
      </c>
      <c r="H2097" t="s">
        <v>153</v>
      </c>
      <c r="I2097" t="s">
        <v>64</v>
      </c>
    </row>
    <row r="2098" spans="1:9">
      <c r="A2098" s="49">
        <v>45822</v>
      </c>
      <c r="B2098" s="50">
        <v>0.007604166666666667</v>
      </c>
      <c r="C2098" t="s">
        <v>150</v>
      </c>
      <c r="D2098" t="s">
        <v>35</v>
      </c>
      <c r="E2098" t="s">
        <v>174</v>
      </c>
      <c r="F2098" t="s">
        <v>314</v>
      </c>
      <c r="G2098">
        <v>-10000</v>
      </c>
      <c r="H2098" t="s">
        <v>153</v>
      </c>
      <c r="I2098" t="s">
        <v>64</v>
      </c>
    </row>
    <row r="2099" spans="1:9">
      <c r="A2099" s="49">
        <v>45821</v>
      </c>
      <c r="B2099" s="50">
        <v>0.9163194444444445</v>
      </c>
      <c r="C2099" t="s">
        <v>155</v>
      </c>
      <c r="D2099" t="s">
        <v>155</v>
      </c>
      <c r="E2099" t="s">
        <v>32</v>
      </c>
      <c r="F2099" t="s">
        <v>803</v>
      </c>
      <c r="G2099">
        <v>499000</v>
      </c>
      <c r="H2099" t="s">
        <v>153</v>
      </c>
      <c r="I2099" t="s">
        <v>64</v>
      </c>
    </row>
    <row r="2100" spans="1:9">
      <c r="A2100" s="49">
        <v>45821</v>
      </c>
      <c r="B2100" s="50">
        <v>0.9046875</v>
      </c>
      <c r="C2100" t="s">
        <v>150</v>
      </c>
      <c r="D2100" t="s">
        <v>40</v>
      </c>
      <c r="E2100" t="s">
        <v>172</v>
      </c>
      <c r="F2100" t="s">
        <v>895</v>
      </c>
      <c r="G2100">
        <v>-2000</v>
      </c>
      <c r="H2100" t="s">
        <v>153</v>
      </c>
      <c r="I2100" t="s">
        <v>164</v>
      </c>
    </row>
    <row r="2101" spans="1:9">
      <c r="A2101" s="49">
        <v>45821</v>
      </c>
      <c r="B2101" s="50">
        <v>0.9046875</v>
      </c>
      <c r="C2101" t="s">
        <v>155</v>
      </c>
      <c r="D2101" t="s">
        <v>158</v>
      </c>
      <c r="E2101" t="s">
        <v>32</v>
      </c>
      <c r="F2101" t="s">
        <v>159</v>
      </c>
      <c r="G2101">
        <v>10000</v>
      </c>
      <c r="H2101" t="s">
        <v>153</v>
      </c>
      <c r="I2101" t="s">
        <v>157</v>
      </c>
    </row>
    <row r="2102" spans="1:9">
      <c r="A2102" s="49">
        <v>45821</v>
      </c>
      <c r="B2102" s="50">
        <v>0.9046875</v>
      </c>
      <c r="C2102" t="s">
        <v>155</v>
      </c>
      <c r="D2102" t="s">
        <v>158</v>
      </c>
      <c r="E2102" t="s">
        <v>32</v>
      </c>
      <c r="F2102" t="s">
        <v>160</v>
      </c>
      <c r="G2102">
        <v>-10000</v>
      </c>
      <c r="H2102" t="s">
        <v>153</v>
      </c>
      <c r="I2102" t="s">
        <v>64</v>
      </c>
    </row>
    <row r="2103" spans="1:9">
      <c r="A2103" s="49">
        <v>45821</v>
      </c>
      <c r="B2103" s="50">
        <v>0.7888194444444444</v>
      </c>
      <c r="C2103" t="s">
        <v>150</v>
      </c>
      <c r="D2103" t="s">
        <v>34</v>
      </c>
      <c r="E2103" t="s">
        <v>896</v>
      </c>
      <c r="F2103" t="s">
        <v>302</v>
      </c>
      <c r="G2103">
        <v>-100000</v>
      </c>
      <c r="H2103" t="s">
        <v>153</v>
      </c>
      <c r="I2103" t="s">
        <v>64</v>
      </c>
    </row>
    <row r="2104" spans="1:9">
      <c r="A2104" s="49">
        <v>45821</v>
      </c>
      <c r="B2104" s="50">
        <v>0.7219675925925926</v>
      </c>
      <c r="C2104" t="s">
        <v>155</v>
      </c>
      <c r="D2104" t="s">
        <v>155</v>
      </c>
      <c r="E2104" t="s">
        <v>32</v>
      </c>
      <c r="F2104" t="s">
        <v>156</v>
      </c>
      <c r="G2104">
        <v>-1600000</v>
      </c>
      <c r="H2104" t="s">
        <v>153</v>
      </c>
      <c r="I2104" t="s">
        <v>157</v>
      </c>
    </row>
    <row r="2105" spans="1:9">
      <c r="A2105" s="49">
        <v>45821</v>
      </c>
      <c r="B2105" s="50">
        <v>0.7219675925925926</v>
      </c>
      <c r="C2105" t="s">
        <v>155</v>
      </c>
      <c r="D2105" t="s">
        <v>158</v>
      </c>
      <c r="E2105" t="s">
        <v>32</v>
      </c>
      <c r="F2105" t="s">
        <v>160</v>
      </c>
      <c r="G2105">
        <v>-1486291</v>
      </c>
      <c r="H2105" t="s">
        <v>153</v>
      </c>
      <c r="I2105" t="s">
        <v>64</v>
      </c>
    </row>
    <row r="2106" spans="1:9">
      <c r="A2106" s="49">
        <v>45821</v>
      </c>
      <c r="B2106" s="50">
        <v>0.7219560185185185</v>
      </c>
      <c r="C2106" t="s">
        <v>155</v>
      </c>
      <c r="D2106" t="s">
        <v>158</v>
      </c>
      <c r="E2106" t="s">
        <v>32</v>
      </c>
      <c r="F2106" t="s">
        <v>159</v>
      </c>
      <c r="G2106">
        <v>1486291</v>
      </c>
      <c r="H2106" t="s">
        <v>153</v>
      </c>
      <c r="I2106" t="s">
        <v>157</v>
      </c>
    </row>
    <row r="2107" spans="1:9">
      <c r="A2107" s="49">
        <v>45821</v>
      </c>
      <c r="B2107" s="50">
        <v>0.7215162037037037</v>
      </c>
      <c r="C2107" t="s">
        <v>155</v>
      </c>
      <c r="D2107" t="s">
        <v>155</v>
      </c>
      <c r="E2107" t="s">
        <v>32</v>
      </c>
      <c r="F2107" t="s">
        <v>897</v>
      </c>
      <c r="G2107">
        <v>499000</v>
      </c>
      <c r="H2107" t="s">
        <v>153</v>
      </c>
      <c r="I2107" t="s">
        <v>64</v>
      </c>
    </row>
    <row r="2108" spans="1:9">
      <c r="A2108" s="49">
        <v>45821</v>
      </c>
      <c r="B2108" s="50">
        <v>0.5917708333333334</v>
      </c>
      <c r="C2108" t="s">
        <v>167</v>
      </c>
      <c r="D2108" t="s">
        <v>31</v>
      </c>
      <c r="E2108" t="s">
        <v>32</v>
      </c>
      <c r="F2108" t="s">
        <v>168</v>
      </c>
      <c r="G2108">
        <v>3000</v>
      </c>
      <c r="H2108" t="s">
        <v>153</v>
      </c>
      <c r="I2108" t="s">
        <v>64</v>
      </c>
    </row>
    <row r="2109" spans="1:9">
      <c r="A2109" s="49">
        <v>45821</v>
      </c>
      <c r="B2109" s="50">
        <v>0.5915856481481482</v>
      </c>
      <c r="C2109" t="s">
        <v>150</v>
      </c>
      <c r="D2109" t="s">
        <v>35</v>
      </c>
      <c r="E2109" t="s">
        <v>169</v>
      </c>
      <c r="F2109" t="s">
        <v>170</v>
      </c>
      <c r="G2109">
        <v>-920</v>
      </c>
      <c r="H2109" t="s">
        <v>153</v>
      </c>
      <c r="I2109" t="s">
        <v>171</v>
      </c>
    </row>
    <row r="2110" spans="1:9">
      <c r="A2110" s="49">
        <v>45821</v>
      </c>
      <c r="B2110" s="50">
        <v>0.5890972222222223</v>
      </c>
      <c r="C2110" t="s">
        <v>150</v>
      </c>
      <c r="D2110" t="s">
        <v>35</v>
      </c>
      <c r="E2110" t="s">
        <v>169</v>
      </c>
      <c r="F2110" t="s">
        <v>170</v>
      </c>
      <c r="G2110">
        <v>3000</v>
      </c>
      <c r="H2110" t="s">
        <v>153</v>
      </c>
      <c r="I2110" t="s">
        <v>171</v>
      </c>
    </row>
    <row r="2111" spans="1:9">
      <c r="A2111" s="49">
        <v>45821</v>
      </c>
      <c r="B2111" s="50">
        <v>0.5890972222222223</v>
      </c>
      <c r="C2111" t="s">
        <v>150</v>
      </c>
      <c r="D2111" t="s">
        <v>40</v>
      </c>
      <c r="E2111" t="s">
        <v>172</v>
      </c>
      <c r="F2111" t="s">
        <v>173</v>
      </c>
      <c r="G2111">
        <v>-3000</v>
      </c>
      <c r="H2111" t="s">
        <v>153</v>
      </c>
      <c r="I2111" t="s">
        <v>64</v>
      </c>
    </row>
    <row r="2112" spans="1:9">
      <c r="A2112" s="49">
        <v>45821</v>
      </c>
      <c r="B2112" s="50">
        <v>0.1722916666666667</v>
      </c>
      <c r="C2112" t="s">
        <v>155</v>
      </c>
      <c r="D2112" t="s">
        <v>155</v>
      </c>
      <c r="E2112" t="s">
        <v>32</v>
      </c>
      <c r="F2112" t="s">
        <v>246</v>
      </c>
      <c r="G2112">
        <v>-11500</v>
      </c>
      <c r="H2112" t="s">
        <v>153</v>
      </c>
      <c r="I2112" t="s">
        <v>64</v>
      </c>
    </row>
    <row r="2113" spans="1:9">
      <c r="A2113" s="49">
        <v>45821</v>
      </c>
      <c r="B2113" s="50">
        <v>0.07048611111111111</v>
      </c>
      <c r="C2113" t="s">
        <v>155</v>
      </c>
      <c r="D2113" t="s">
        <v>158</v>
      </c>
      <c r="E2113" t="s">
        <v>32</v>
      </c>
      <c r="F2113" t="s">
        <v>7</v>
      </c>
      <c r="G2113">
        <v>-5000000</v>
      </c>
      <c r="H2113" t="s">
        <v>153</v>
      </c>
      <c r="I2113" t="s">
        <v>64</v>
      </c>
    </row>
    <row r="2114" spans="1:9">
      <c r="A2114" s="49">
        <v>45820</v>
      </c>
      <c r="B2114" s="50">
        <v>0.8726851851851852</v>
      </c>
      <c r="C2114" t="s">
        <v>150</v>
      </c>
      <c r="D2114" t="s">
        <v>44</v>
      </c>
      <c r="E2114" t="s">
        <v>225</v>
      </c>
      <c r="F2114" t="s">
        <v>898</v>
      </c>
      <c r="G2114">
        <v>-14672</v>
      </c>
      <c r="H2114" t="s">
        <v>153</v>
      </c>
      <c r="I2114" t="s">
        <v>214</v>
      </c>
    </row>
    <row r="2115" spans="1:9">
      <c r="A2115" s="49">
        <v>45820</v>
      </c>
      <c r="B2115" s="50">
        <v>0.8141898148148148</v>
      </c>
      <c r="C2115" t="s">
        <v>155</v>
      </c>
      <c r="D2115" t="s">
        <v>155</v>
      </c>
      <c r="E2115" t="s">
        <v>32</v>
      </c>
      <c r="F2115" t="s">
        <v>246</v>
      </c>
      <c r="G2115">
        <v>-17100</v>
      </c>
      <c r="H2115" t="s">
        <v>153</v>
      </c>
      <c r="I2115" t="s">
        <v>64</v>
      </c>
    </row>
    <row r="2116" spans="1:9">
      <c r="A2116" s="49">
        <v>45820</v>
      </c>
      <c r="B2116" s="50">
        <v>0.8134837962962963</v>
      </c>
      <c r="C2116" t="s">
        <v>155</v>
      </c>
      <c r="D2116" t="s">
        <v>155</v>
      </c>
      <c r="E2116" t="s">
        <v>32</v>
      </c>
      <c r="F2116" t="s">
        <v>246</v>
      </c>
      <c r="G2116">
        <v>-15300</v>
      </c>
      <c r="H2116" t="s">
        <v>153</v>
      </c>
      <c r="I2116" t="s">
        <v>64</v>
      </c>
    </row>
    <row r="2117" spans="1:9">
      <c r="A2117" s="49">
        <v>45820</v>
      </c>
      <c r="B2117" s="50">
        <v>0.6036574074074074</v>
      </c>
      <c r="C2117" t="s">
        <v>150</v>
      </c>
      <c r="D2117" t="s">
        <v>47</v>
      </c>
      <c r="E2117" t="s">
        <v>899</v>
      </c>
      <c r="F2117" t="s">
        <v>900</v>
      </c>
      <c r="G2117">
        <v>-49120</v>
      </c>
      <c r="H2117" t="s">
        <v>153</v>
      </c>
      <c r="I2117" t="s">
        <v>64</v>
      </c>
    </row>
    <row r="2118" spans="1:9">
      <c r="A2118" s="49">
        <v>45819</v>
      </c>
      <c r="B2118" s="50">
        <v>0.7663888888888889</v>
      </c>
      <c r="C2118" t="s">
        <v>155</v>
      </c>
      <c r="D2118" t="s">
        <v>241</v>
      </c>
      <c r="E2118" t="s">
        <v>32</v>
      </c>
      <c r="F2118" t="s">
        <v>887</v>
      </c>
      <c r="G2118">
        <v>195040</v>
      </c>
      <c r="H2118" t="s">
        <v>153</v>
      </c>
      <c r="I2118" t="s">
        <v>64</v>
      </c>
    </row>
    <row r="2119" spans="1:9">
      <c r="A2119" s="49">
        <v>45819</v>
      </c>
      <c r="B2119" s="50">
        <v>0.7608101851851852</v>
      </c>
      <c r="C2119" t="s">
        <v>150</v>
      </c>
      <c r="D2119" t="s">
        <v>40</v>
      </c>
      <c r="E2119" t="s">
        <v>380</v>
      </c>
      <c r="F2119" t="s">
        <v>901</v>
      </c>
      <c r="G2119">
        <v>-121000</v>
      </c>
      <c r="H2119" t="s">
        <v>153</v>
      </c>
      <c r="I2119" t="s">
        <v>171</v>
      </c>
    </row>
    <row r="2120" spans="1:9">
      <c r="A2120" s="49">
        <v>45819</v>
      </c>
      <c r="B2120" s="50">
        <v>0.5754513888888889</v>
      </c>
      <c r="C2120" t="s">
        <v>167</v>
      </c>
      <c r="D2120" t="s">
        <v>31</v>
      </c>
      <c r="E2120" t="s">
        <v>32</v>
      </c>
      <c r="F2120" t="s">
        <v>168</v>
      </c>
      <c r="G2120">
        <v>3000</v>
      </c>
      <c r="H2120" t="s">
        <v>153</v>
      </c>
      <c r="I2120" t="s">
        <v>64</v>
      </c>
    </row>
    <row r="2121" spans="1:9">
      <c r="A2121" s="49">
        <v>45819</v>
      </c>
      <c r="B2121" s="50">
        <v>0.5754398148148148</v>
      </c>
      <c r="C2121" t="s">
        <v>150</v>
      </c>
      <c r="D2121" t="s">
        <v>35</v>
      </c>
      <c r="E2121" t="s">
        <v>169</v>
      </c>
      <c r="F2121" t="s">
        <v>170</v>
      </c>
      <c r="G2121">
        <v>-690</v>
      </c>
      <c r="H2121" t="s">
        <v>153</v>
      </c>
      <c r="I2121" t="s">
        <v>171</v>
      </c>
    </row>
    <row r="2122" spans="1:9">
      <c r="A2122" s="49">
        <v>45819</v>
      </c>
      <c r="B2122" s="50">
        <v>0.5733796296296296</v>
      </c>
      <c r="C2122" t="s">
        <v>150</v>
      </c>
      <c r="D2122" t="s">
        <v>35</v>
      </c>
      <c r="E2122" t="s">
        <v>169</v>
      </c>
      <c r="F2122" t="s">
        <v>170</v>
      </c>
      <c r="G2122">
        <v>3000</v>
      </c>
      <c r="H2122" t="s">
        <v>153</v>
      </c>
      <c r="I2122" t="s">
        <v>171</v>
      </c>
    </row>
    <row r="2123" spans="1:9">
      <c r="A2123" s="49">
        <v>45819</v>
      </c>
      <c r="B2123" s="50">
        <v>0.5733796296296296</v>
      </c>
      <c r="C2123" t="s">
        <v>150</v>
      </c>
      <c r="D2123" t="s">
        <v>40</v>
      </c>
      <c r="E2123" t="s">
        <v>172</v>
      </c>
      <c r="F2123" t="s">
        <v>173</v>
      </c>
      <c r="G2123">
        <v>-3000</v>
      </c>
      <c r="H2123" t="s">
        <v>153</v>
      </c>
      <c r="I2123" t="s">
        <v>64</v>
      </c>
    </row>
    <row r="2124" spans="1:9">
      <c r="A2124" s="49">
        <v>45819</v>
      </c>
      <c r="B2124" s="50">
        <v>0.5252893518518519</v>
      </c>
      <c r="C2124" t="s">
        <v>150</v>
      </c>
      <c r="D2124" t="s">
        <v>36</v>
      </c>
      <c r="E2124" t="s">
        <v>191</v>
      </c>
      <c r="F2124" t="s">
        <v>192</v>
      </c>
      <c r="G2124">
        <v>-26000</v>
      </c>
      <c r="H2124" t="s">
        <v>153</v>
      </c>
      <c r="I2124" t="s">
        <v>157</v>
      </c>
    </row>
    <row r="2125" spans="1:9">
      <c r="A2125" s="49">
        <v>45819</v>
      </c>
      <c r="B2125" s="50">
        <v>0.5251041666666667</v>
      </c>
      <c r="C2125" t="s">
        <v>150</v>
      </c>
      <c r="D2125" t="s">
        <v>36</v>
      </c>
      <c r="E2125" t="s">
        <v>191</v>
      </c>
      <c r="F2125" t="s">
        <v>192</v>
      </c>
      <c r="G2125">
        <v>-1800</v>
      </c>
      <c r="H2125" t="s">
        <v>153</v>
      </c>
      <c r="I2125" t="s">
        <v>157</v>
      </c>
    </row>
    <row r="2126" spans="1:9">
      <c r="A2126" s="49">
        <v>45819</v>
      </c>
      <c r="B2126" s="50">
        <v>0.4916087962962963</v>
      </c>
      <c r="C2126" t="s">
        <v>155</v>
      </c>
      <c r="D2126" t="s">
        <v>155</v>
      </c>
      <c r="E2126" t="s">
        <v>32</v>
      </c>
      <c r="F2126" t="s">
        <v>902</v>
      </c>
      <c r="G2126">
        <v>349000</v>
      </c>
      <c r="H2126" t="s">
        <v>153</v>
      </c>
      <c r="I2126" t="s">
        <v>64</v>
      </c>
    </row>
    <row r="2127" spans="1:9">
      <c r="A2127" s="49">
        <v>45819</v>
      </c>
      <c r="B2127" s="50">
        <v>0.02755787037037037</v>
      </c>
      <c r="C2127" t="s">
        <v>155</v>
      </c>
      <c r="D2127" t="s">
        <v>155</v>
      </c>
      <c r="E2127" t="s">
        <v>32</v>
      </c>
      <c r="F2127" t="s">
        <v>653</v>
      </c>
      <c r="G2127">
        <v>300000</v>
      </c>
      <c r="H2127" t="s">
        <v>153</v>
      </c>
      <c r="I2127" t="s">
        <v>64</v>
      </c>
    </row>
    <row r="2128" spans="1:9">
      <c r="A2128" s="49">
        <v>45818</v>
      </c>
      <c r="B2128" s="50">
        <v>0.7722106481481481</v>
      </c>
      <c r="C2128" t="s">
        <v>155</v>
      </c>
      <c r="D2128" t="s">
        <v>70</v>
      </c>
      <c r="E2128" t="s">
        <v>32</v>
      </c>
      <c r="F2128" t="s">
        <v>238</v>
      </c>
      <c r="G2128">
        <v>-39050</v>
      </c>
      <c r="H2128" t="s">
        <v>153</v>
      </c>
      <c r="I2128" t="s">
        <v>64</v>
      </c>
    </row>
    <row r="2129" spans="1:9">
      <c r="A2129" s="49">
        <v>45818</v>
      </c>
      <c r="B2129" s="50">
        <v>0.6261458333333333</v>
      </c>
      <c r="C2129" t="s">
        <v>150</v>
      </c>
      <c r="D2129" t="s">
        <v>48</v>
      </c>
      <c r="E2129" t="s">
        <v>185</v>
      </c>
      <c r="F2129" t="s">
        <v>903</v>
      </c>
      <c r="G2129">
        <v>-14000</v>
      </c>
      <c r="H2129" t="s">
        <v>153</v>
      </c>
      <c r="I2129" t="s">
        <v>214</v>
      </c>
    </row>
    <row r="2130" spans="1:9">
      <c r="A2130" s="49">
        <v>45818</v>
      </c>
      <c r="B2130" s="50">
        <v>0.5747453703703703</v>
      </c>
      <c r="C2130" t="s">
        <v>155</v>
      </c>
      <c r="D2130" t="s">
        <v>155</v>
      </c>
      <c r="E2130" t="s">
        <v>32</v>
      </c>
      <c r="F2130" t="s">
        <v>430</v>
      </c>
      <c r="G2130">
        <v>300000</v>
      </c>
      <c r="H2130" t="s">
        <v>153</v>
      </c>
      <c r="I2130" t="s">
        <v>64</v>
      </c>
    </row>
    <row r="2131" spans="1:9">
      <c r="A2131" s="49">
        <v>45818</v>
      </c>
      <c r="B2131" s="50">
        <v>0.5248611111111111</v>
      </c>
      <c r="C2131" t="s">
        <v>150</v>
      </c>
      <c r="D2131" t="s">
        <v>35</v>
      </c>
      <c r="E2131" t="s">
        <v>169</v>
      </c>
      <c r="F2131" t="s">
        <v>170</v>
      </c>
      <c r="G2131">
        <v>-2760</v>
      </c>
      <c r="H2131" t="s">
        <v>153</v>
      </c>
      <c r="I2131" t="s">
        <v>171</v>
      </c>
    </row>
    <row r="2132" spans="1:9">
      <c r="A2132" s="49">
        <v>45818</v>
      </c>
      <c r="B2132" s="50">
        <v>0.5248611111111111</v>
      </c>
      <c r="C2132" t="s">
        <v>167</v>
      </c>
      <c r="D2132" t="s">
        <v>31</v>
      </c>
      <c r="E2132" t="s">
        <v>32</v>
      </c>
      <c r="F2132" t="s">
        <v>168</v>
      </c>
      <c r="G2132">
        <v>3000</v>
      </c>
      <c r="H2132" t="s">
        <v>153</v>
      </c>
      <c r="I2132" t="s">
        <v>64</v>
      </c>
    </row>
    <row r="2133" spans="1:9">
      <c r="A2133" s="49">
        <v>45818</v>
      </c>
      <c r="B2133" s="50">
        <v>0.5167013888888888</v>
      </c>
      <c r="C2133" t="s">
        <v>150</v>
      </c>
      <c r="D2133" t="s">
        <v>35</v>
      </c>
      <c r="E2133" t="s">
        <v>169</v>
      </c>
      <c r="F2133" t="s">
        <v>170</v>
      </c>
      <c r="G2133">
        <v>3000</v>
      </c>
      <c r="H2133" t="s">
        <v>153</v>
      </c>
      <c r="I2133" t="s">
        <v>171</v>
      </c>
    </row>
    <row r="2134" spans="1:9">
      <c r="A2134" s="49">
        <v>45818</v>
      </c>
      <c r="B2134" s="50">
        <v>0.5167013888888888</v>
      </c>
      <c r="C2134" t="s">
        <v>150</v>
      </c>
      <c r="D2134" t="s">
        <v>40</v>
      </c>
      <c r="E2134" t="s">
        <v>172</v>
      </c>
      <c r="F2134" t="s">
        <v>173</v>
      </c>
      <c r="G2134">
        <v>-3000</v>
      </c>
      <c r="H2134" t="s">
        <v>153</v>
      </c>
      <c r="I2134" t="s">
        <v>64</v>
      </c>
    </row>
    <row r="2135" spans="1:9">
      <c r="A2135" s="49">
        <v>45818</v>
      </c>
      <c r="B2135" s="50">
        <v>0.5142592592592593</v>
      </c>
      <c r="C2135" t="s">
        <v>167</v>
      </c>
      <c r="D2135" t="s">
        <v>31</v>
      </c>
      <c r="E2135" t="s">
        <v>32</v>
      </c>
      <c r="F2135" t="s">
        <v>168</v>
      </c>
      <c r="G2135">
        <v>3000</v>
      </c>
      <c r="H2135" t="s">
        <v>153</v>
      </c>
      <c r="I2135" t="s">
        <v>64</v>
      </c>
    </row>
    <row r="2136" spans="1:9">
      <c r="A2136" s="49">
        <v>45818</v>
      </c>
      <c r="B2136" s="50">
        <v>0.5142361111111111</v>
      </c>
      <c r="C2136" t="s">
        <v>150</v>
      </c>
      <c r="D2136" t="s">
        <v>35</v>
      </c>
      <c r="E2136" t="s">
        <v>169</v>
      </c>
      <c r="F2136" t="s">
        <v>170</v>
      </c>
      <c r="G2136">
        <v>-920</v>
      </c>
      <c r="H2136" t="s">
        <v>153</v>
      </c>
      <c r="I2136" t="s">
        <v>171</v>
      </c>
    </row>
    <row r="2137" spans="1:9">
      <c r="A2137" s="49">
        <v>45818</v>
      </c>
      <c r="B2137" s="50">
        <v>0.5117939814814815</v>
      </c>
      <c r="C2137" t="s">
        <v>150</v>
      </c>
      <c r="D2137" t="s">
        <v>35</v>
      </c>
      <c r="E2137" t="s">
        <v>169</v>
      </c>
      <c r="F2137" t="s">
        <v>170</v>
      </c>
      <c r="G2137">
        <v>3000</v>
      </c>
      <c r="H2137" t="s">
        <v>153</v>
      </c>
      <c r="I2137" t="s">
        <v>171</v>
      </c>
    </row>
    <row r="2138" spans="1:9">
      <c r="A2138" s="49">
        <v>45818</v>
      </c>
      <c r="B2138" s="50">
        <v>0.5117939814814815</v>
      </c>
      <c r="C2138" t="s">
        <v>150</v>
      </c>
      <c r="D2138" t="s">
        <v>40</v>
      </c>
      <c r="E2138" t="s">
        <v>172</v>
      </c>
      <c r="F2138" t="s">
        <v>173</v>
      </c>
      <c r="G2138">
        <v>-3000</v>
      </c>
      <c r="H2138" t="s">
        <v>153</v>
      </c>
      <c r="I2138" t="s">
        <v>64</v>
      </c>
    </row>
    <row r="2139" spans="1:9">
      <c r="A2139" s="49">
        <v>45818</v>
      </c>
      <c r="B2139" s="50">
        <v>0.5113425925925926</v>
      </c>
      <c r="C2139" t="s">
        <v>150</v>
      </c>
      <c r="D2139" t="s">
        <v>36</v>
      </c>
      <c r="E2139" t="s">
        <v>191</v>
      </c>
      <c r="F2139" t="s">
        <v>192</v>
      </c>
      <c r="G2139">
        <v>-3075</v>
      </c>
      <c r="H2139" t="s">
        <v>153</v>
      </c>
      <c r="I2139" t="s">
        <v>157</v>
      </c>
    </row>
    <row r="2140" spans="1:9">
      <c r="A2140" s="49">
        <v>45818</v>
      </c>
      <c r="B2140" s="50">
        <v>0.4947337962962963</v>
      </c>
      <c r="C2140" t="s">
        <v>167</v>
      </c>
      <c r="D2140" t="s">
        <v>28</v>
      </c>
      <c r="E2140" t="s">
        <v>32</v>
      </c>
      <c r="F2140" t="s">
        <v>243</v>
      </c>
      <c r="G2140">
        <v>4751</v>
      </c>
      <c r="H2140" t="s">
        <v>153</v>
      </c>
      <c r="I2140" t="s">
        <v>64</v>
      </c>
    </row>
    <row r="2141" spans="1:9">
      <c r="A2141" s="49">
        <v>45818</v>
      </c>
      <c r="B2141" s="50">
        <v>0.3932060185185185</v>
      </c>
      <c r="C2141" t="s">
        <v>155</v>
      </c>
      <c r="D2141" t="s">
        <v>155</v>
      </c>
      <c r="E2141" t="s">
        <v>32</v>
      </c>
      <c r="F2141" t="s">
        <v>893</v>
      </c>
      <c r="G2141">
        <v>499000</v>
      </c>
      <c r="H2141" t="s">
        <v>153</v>
      </c>
      <c r="I2141" t="s">
        <v>64</v>
      </c>
    </row>
    <row r="2142" spans="1:9">
      <c r="A2142" s="49">
        <v>45818</v>
      </c>
      <c r="B2142" s="50">
        <v>0.1270833333333333</v>
      </c>
      <c r="C2142" t="s">
        <v>150</v>
      </c>
      <c r="D2142" t="s">
        <v>44</v>
      </c>
      <c r="E2142" t="s">
        <v>162</v>
      </c>
      <c r="F2142" t="s">
        <v>904</v>
      </c>
      <c r="G2142">
        <v>-978</v>
      </c>
      <c r="H2142" t="s">
        <v>153</v>
      </c>
      <c r="I2142" t="s">
        <v>171</v>
      </c>
    </row>
    <row r="2143" spans="1:9">
      <c r="A2143" s="49">
        <v>45817</v>
      </c>
      <c r="B2143" s="50">
        <v>0.9709143518518518</v>
      </c>
      <c r="C2143" t="s">
        <v>150</v>
      </c>
      <c r="D2143" t="s">
        <v>35</v>
      </c>
      <c r="E2143" t="s">
        <v>169</v>
      </c>
      <c r="F2143" t="s">
        <v>170</v>
      </c>
      <c r="G2143">
        <v>-1620</v>
      </c>
      <c r="H2143" t="s">
        <v>153</v>
      </c>
      <c r="I2143" t="s">
        <v>171</v>
      </c>
    </row>
    <row r="2144" spans="1:9">
      <c r="A2144" s="49">
        <v>45817</v>
      </c>
      <c r="B2144" s="50">
        <v>0.9709027777777778</v>
      </c>
      <c r="C2144" t="s">
        <v>167</v>
      </c>
      <c r="D2144" t="s">
        <v>31</v>
      </c>
      <c r="E2144" t="s">
        <v>32</v>
      </c>
      <c r="F2144" t="s">
        <v>168</v>
      </c>
      <c r="G2144">
        <v>3000</v>
      </c>
      <c r="H2144" t="s">
        <v>153</v>
      </c>
      <c r="I2144" t="s">
        <v>64</v>
      </c>
    </row>
    <row r="2145" spans="1:9">
      <c r="A2145" s="49">
        <v>45817</v>
      </c>
      <c r="B2145" s="50">
        <v>0.9670486111111111</v>
      </c>
      <c r="C2145" t="s">
        <v>150</v>
      </c>
      <c r="D2145" t="s">
        <v>35</v>
      </c>
      <c r="E2145" t="s">
        <v>169</v>
      </c>
      <c r="F2145" t="s">
        <v>170</v>
      </c>
      <c r="G2145">
        <v>3000</v>
      </c>
      <c r="H2145" t="s">
        <v>153</v>
      </c>
      <c r="I2145" t="s">
        <v>171</v>
      </c>
    </row>
    <row r="2146" spans="1:9">
      <c r="A2146" s="49">
        <v>45817</v>
      </c>
      <c r="B2146" s="50">
        <v>0.9670486111111111</v>
      </c>
      <c r="C2146" t="s">
        <v>150</v>
      </c>
      <c r="D2146" t="s">
        <v>40</v>
      </c>
      <c r="E2146" t="s">
        <v>172</v>
      </c>
      <c r="F2146" t="s">
        <v>173</v>
      </c>
      <c r="G2146">
        <v>-3000</v>
      </c>
      <c r="H2146" t="s">
        <v>153</v>
      </c>
      <c r="I2146" t="s">
        <v>64</v>
      </c>
    </row>
    <row r="2147" spans="1:9">
      <c r="A2147" s="49">
        <v>45817</v>
      </c>
      <c r="B2147" s="50">
        <v>0.9343981481481481</v>
      </c>
      <c r="C2147" t="s">
        <v>150</v>
      </c>
      <c r="D2147" t="s">
        <v>48</v>
      </c>
      <c r="E2147" t="s">
        <v>185</v>
      </c>
      <c r="F2147" t="s">
        <v>905</v>
      </c>
      <c r="G2147">
        <v>-1600</v>
      </c>
      <c r="H2147" t="s">
        <v>153</v>
      </c>
      <c r="I2147" t="s">
        <v>214</v>
      </c>
    </row>
    <row r="2148" spans="1:9">
      <c r="A2148" s="49">
        <v>45817</v>
      </c>
      <c r="B2148" s="50">
        <v>0.8410069444444445</v>
      </c>
      <c r="C2148" t="s">
        <v>150</v>
      </c>
      <c r="D2148" t="s">
        <v>35</v>
      </c>
      <c r="E2148" t="s">
        <v>169</v>
      </c>
      <c r="F2148" t="s">
        <v>739</v>
      </c>
      <c r="G2148">
        <v>-1944</v>
      </c>
      <c r="H2148" t="s">
        <v>153</v>
      </c>
      <c r="I2148" t="s">
        <v>164</v>
      </c>
    </row>
    <row r="2149" spans="1:9">
      <c r="A2149" s="49">
        <v>45817</v>
      </c>
      <c r="B2149" s="50">
        <v>0.8410069444444445</v>
      </c>
      <c r="C2149" t="s">
        <v>150</v>
      </c>
      <c r="D2149" t="s">
        <v>35</v>
      </c>
      <c r="E2149" t="s">
        <v>169</v>
      </c>
      <c r="F2149" t="s">
        <v>739</v>
      </c>
      <c r="G2149">
        <v>-5400</v>
      </c>
      <c r="H2149" t="s">
        <v>153</v>
      </c>
      <c r="I2149" t="s">
        <v>164</v>
      </c>
    </row>
    <row r="2150" spans="1:9">
      <c r="A2150" s="49">
        <v>45817</v>
      </c>
      <c r="B2150" s="50">
        <v>0.8322337962962963</v>
      </c>
      <c r="C2150" t="s">
        <v>150</v>
      </c>
      <c r="D2150" t="s">
        <v>35</v>
      </c>
      <c r="E2150" t="s">
        <v>174</v>
      </c>
      <c r="F2150" t="s">
        <v>314</v>
      </c>
      <c r="G2150">
        <v>-10000</v>
      </c>
      <c r="H2150" t="s">
        <v>153</v>
      </c>
      <c r="I2150" t="s">
        <v>64</v>
      </c>
    </row>
    <row r="2151" spans="1:9">
      <c r="A2151" s="49">
        <v>45817</v>
      </c>
      <c r="B2151" s="50">
        <v>0.7991319444444445</v>
      </c>
      <c r="C2151" t="s">
        <v>167</v>
      </c>
      <c r="D2151" t="s">
        <v>31</v>
      </c>
      <c r="E2151" t="s">
        <v>32</v>
      </c>
      <c r="F2151" t="s">
        <v>168</v>
      </c>
      <c r="G2151">
        <v>3000</v>
      </c>
      <c r="H2151" t="s">
        <v>153</v>
      </c>
      <c r="I2151" t="s">
        <v>64</v>
      </c>
    </row>
    <row r="2152" spans="1:9">
      <c r="A2152" s="49">
        <v>45817</v>
      </c>
      <c r="B2152" s="50">
        <v>0.799074074074074</v>
      </c>
      <c r="C2152" t="s">
        <v>150</v>
      </c>
      <c r="D2152" t="s">
        <v>35</v>
      </c>
      <c r="E2152" t="s">
        <v>169</v>
      </c>
      <c r="F2152" t="s">
        <v>170</v>
      </c>
      <c r="G2152">
        <v>-920</v>
      </c>
      <c r="H2152" t="s">
        <v>153</v>
      </c>
      <c r="I2152" t="s">
        <v>171</v>
      </c>
    </row>
    <row r="2153" spans="1:9">
      <c r="A2153" s="49">
        <v>45817</v>
      </c>
      <c r="B2153" s="50">
        <v>0.7965972222222222</v>
      </c>
      <c r="C2153" t="s">
        <v>150</v>
      </c>
      <c r="D2153" t="s">
        <v>35</v>
      </c>
      <c r="E2153" t="s">
        <v>169</v>
      </c>
      <c r="F2153" t="s">
        <v>170</v>
      </c>
      <c r="G2153">
        <v>3000</v>
      </c>
      <c r="H2153" t="s">
        <v>153</v>
      </c>
      <c r="I2153" t="s">
        <v>171</v>
      </c>
    </row>
    <row r="2154" spans="1:9">
      <c r="A2154" s="49">
        <v>45817</v>
      </c>
      <c r="B2154" s="50">
        <v>0.7965856481481481</v>
      </c>
      <c r="C2154" t="s">
        <v>150</v>
      </c>
      <c r="D2154" t="s">
        <v>40</v>
      </c>
      <c r="E2154" t="s">
        <v>172</v>
      </c>
      <c r="F2154" t="s">
        <v>173</v>
      </c>
      <c r="G2154">
        <v>-3000</v>
      </c>
      <c r="H2154" t="s">
        <v>153</v>
      </c>
      <c r="I2154" t="s">
        <v>64</v>
      </c>
    </row>
    <row r="2155" spans="1:9">
      <c r="A2155" s="49">
        <v>45817</v>
      </c>
      <c r="B2155" s="50">
        <v>0.7274652777777778</v>
      </c>
      <c r="C2155" t="s">
        <v>155</v>
      </c>
      <c r="D2155" t="s">
        <v>241</v>
      </c>
      <c r="E2155" t="s">
        <v>32</v>
      </c>
      <c r="F2155" t="s">
        <v>887</v>
      </c>
      <c r="G2155">
        <v>180000</v>
      </c>
      <c r="H2155" t="s">
        <v>153</v>
      </c>
      <c r="I2155" t="s">
        <v>64</v>
      </c>
    </row>
    <row r="2156" spans="1:9">
      <c r="A2156" s="49">
        <v>45817</v>
      </c>
      <c r="B2156" s="50">
        <v>0.7232407407407407</v>
      </c>
      <c r="C2156" t="s">
        <v>150</v>
      </c>
      <c r="D2156" t="s">
        <v>35</v>
      </c>
      <c r="E2156" t="s">
        <v>169</v>
      </c>
      <c r="F2156" t="s">
        <v>739</v>
      </c>
      <c r="G2156">
        <v>-459</v>
      </c>
      <c r="H2156" t="s">
        <v>153</v>
      </c>
      <c r="I2156" t="s">
        <v>164</v>
      </c>
    </row>
    <row r="2157" spans="1:9">
      <c r="A2157" s="49">
        <v>45817</v>
      </c>
      <c r="B2157" s="50">
        <v>0.7204976851851852</v>
      </c>
      <c r="C2157" t="s">
        <v>150</v>
      </c>
      <c r="D2157" t="s">
        <v>40</v>
      </c>
      <c r="E2157" t="s">
        <v>380</v>
      </c>
      <c r="F2157" t="s">
        <v>906</v>
      </c>
      <c r="G2157">
        <v>-7700</v>
      </c>
      <c r="H2157" t="s">
        <v>153</v>
      </c>
      <c r="I2157" t="s">
        <v>164</v>
      </c>
    </row>
    <row r="2158" spans="1:9">
      <c r="A2158" s="49">
        <v>45817</v>
      </c>
      <c r="B2158" s="50">
        <v>0.7153125</v>
      </c>
      <c r="C2158" t="s">
        <v>150</v>
      </c>
      <c r="D2158" t="s">
        <v>35</v>
      </c>
      <c r="E2158" t="s">
        <v>169</v>
      </c>
      <c r="F2158" t="s">
        <v>739</v>
      </c>
      <c r="G2158">
        <v>-1518</v>
      </c>
      <c r="H2158" t="s">
        <v>153</v>
      </c>
      <c r="I2158" t="s">
        <v>164</v>
      </c>
    </row>
    <row r="2159" spans="1:9">
      <c r="A2159" s="49">
        <v>45817</v>
      </c>
      <c r="B2159" s="50">
        <v>0.3575810185185185</v>
      </c>
      <c r="C2159" t="s">
        <v>155</v>
      </c>
      <c r="D2159" t="s">
        <v>155</v>
      </c>
      <c r="E2159" t="s">
        <v>32</v>
      </c>
      <c r="F2159" t="s">
        <v>907</v>
      </c>
      <c r="G2159">
        <v>499000</v>
      </c>
      <c r="H2159" t="s">
        <v>153</v>
      </c>
      <c r="I2159" t="s">
        <v>64</v>
      </c>
    </row>
    <row r="2160" spans="1:9">
      <c r="A2160" s="49">
        <v>45817</v>
      </c>
      <c r="B2160" s="50">
        <v>0.1563657407407407</v>
      </c>
      <c r="C2160" t="s">
        <v>155</v>
      </c>
      <c r="D2160" t="s">
        <v>155</v>
      </c>
      <c r="E2160" t="s">
        <v>32</v>
      </c>
      <c r="F2160" t="s">
        <v>246</v>
      </c>
      <c r="G2160">
        <v>-263240</v>
      </c>
      <c r="H2160" t="s">
        <v>153</v>
      </c>
      <c r="I2160" t="s">
        <v>64</v>
      </c>
    </row>
    <row r="2161" spans="1:9">
      <c r="A2161" s="49">
        <v>45817</v>
      </c>
      <c r="B2161" s="50">
        <v>0.1263773148148148</v>
      </c>
      <c r="C2161" t="s">
        <v>150</v>
      </c>
      <c r="D2161" t="s">
        <v>44</v>
      </c>
      <c r="E2161" t="s">
        <v>162</v>
      </c>
      <c r="F2161" t="s">
        <v>887</v>
      </c>
      <c r="G2161">
        <v>180000</v>
      </c>
      <c r="H2161" t="s">
        <v>153</v>
      </c>
      <c r="I2161" t="s">
        <v>171</v>
      </c>
    </row>
    <row r="2162" spans="1:9">
      <c r="A2162" s="49">
        <v>45817</v>
      </c>
      <c r="B2162" s="50">
        <v>0.1263425925925926</v>
      </c>
      <c r="C2162" t="s">
        <v>150</v>
      </c>
      <c r="D2162" t="s">
        <v>40</v>
      </c>
      <c r="E2162" t="s">
        <v>172</v>
      </c>
      <c r="F2162" t="s">
        <v>173</v>
      </c>
      <c r="G2162">
        <v>-180000</v>
      </c>
      <c r="H2162" t="s">
        <v>153</v>
      </c>
      <c r="I2162" t="s">
        <v>64</v>
      </c>
    </row>
    <row r="2163" spans="1:9">
      <c r="A2163" s="49">
        <v>45817</v>
      </c>
      <c r="B2163" s="50">
        <v>0.06148148148148148</v>
      </c>
      <c r="C2163" t="s">
        <v>150</v>
      </c>
      <c r="D2163" t="s">
        <v>35</v>
      </c>
      <c r="E2163" t="s">
        <v>174</v>
      </c>
      <c r="F2163" t="s">
        <v>314</v>
      </c>
      <c r="G2163">
        <v>-30000</v>
      </c>
      <c r="H2163" t="s">
        <v>153</v>
      </c>
      <c r="I2163" t="s">
        <v>64</v>
      </c>
    </row>
    <row r="2164" spans="1:9">
      <c r="A2164" s="49">
        <v>45816</v>
      </c>
      <c r="B2164" s="50">
        <v>0.6274537037037037</v>
      </c>
      <c r="C2164" t="s">
        <v>155</v>
      </c>
      <c r="D2164" t="s">
        <v>155</v>
      </c>
      <c r="E2164" t="s">
        <v>32</v>
      </c>
      <c r="F2164" t="s">
        <v>908</v>
      </c>
      <c r="G2164">
        <v>490000</v>
      </c>
      <c r="H2164" t="s">
        <v>153</v>
      </c>
      <c r="I2164" t="s">
        <v>64</v>
      </c>
    </row>
    <row r="2165" spans="1:9">
      <c r="A2165" s="49">
        <v>45816</v>
      </c>
      <c r="B2165" s="50">
        <v>0.5460648148148148</v>
      </c>
      <c r="C2165" t="s">
        <v>150</v>
      </c>
      <c r="D2165" t="s">
        <v>48</v>
      </c>
      <c r="E2165" t="s">
        <v>185</v>
      </c>
      <c r="F2165" t="s">
        <v>909</v>
      </c>
      <c r="G2165">
        <v>-5500</v>
      </c>
      <c r="H2165" t="s">
        <v>153</v>
      </c>
      <c r="I2165" t="s">
        <v>214</v>
      </c>
    </row>
    <row r="2166" spans="1:9">
      <c r="A2166" s="49">
        <v>45816</v>
      </c>
      <c r="B2166" s="50">
        <v>0.5086805555555556</v>
      </c>
      <c r="C2166" t="s">
        <v>167</v>
      </c>
      <c r="D2166" t="s">
        <v>31</v>
      </c>
      <c r="E2166" t="s">
        <v>32</v>
      </c>
      <c r="F2166" t="s">
        <v>168</v>
      </c>
      <c r="G2166">
        <v>3000</v>
      </c>
      <c r="H2166" t="s">
        <v>153</v>
      </c>
      <c r="I2166" t="s">
        <v>64</v>
      </c>
    </row>
    <row r="2167" spans="1:9">
      <c r="A2167" s="49">
        <v>45816</v>
      </c>
      <c r="B2167" s="50">
        <v>0.5085648148148149</v>
      </c>
      <c r="C2167" t="s">
        <v>150</v>
      </c>
      <c r="D2167" t="s">
        <v>35</v>
      </c>
      <c r="E2167" t="s">
        <v>169</v>
      </c>
      <c r="F2167" t="s">
        <v>170</v>
      </c>
      <c r="G2167">
        <v>-1610</v>
      </c>
      <c r="H2167" t="s">
        <v>153</v>
      </c>
      <c r="I2167" t="s">
        <v>171</v>
      </c>
    </row>
    <row r="2168" spans="1:9">
      <c r="A2168" s="49">
        <v>45816</v>
      </c>
      <c r="B2168" s="50">
        <v>0.5039351851851852</v>
      </c>
      <c r="C2168" t="s">
        <v>150</v>
      </c>
      <c r="D2168" t="s">
        <v>35</v>
      </c>
      <c r="E2168" t="s">
        <v>169</v>
      </c>
      <c r="F2168" t="s">
        <v>170</v>
      </c>
      <c r="G2168">
        <v>3000</v>
      </c>
      <c r="H2168" t="s">
        <v>153</v>
      </c>
      <c r="I2168" t="s">
        <v>171</v>
      </c>
    </row>
    <row r="2169" spans="1:9">
      <c r="A2169" s="49">
        <v>45816</v>
      </c>
      <c r="B2169" s="50">
        <v>0.5039351851851852</v>
      </c>
      <c r="C2169" t="s">
        <v>150</v>
      </c>
      <c r="D2169" t="s">
        <v>40</v>
      </c>
      <c r="E2169" t="s">
        <v>172</v>
      </c>
      <c r="F2169" t="s">
        <v>173</v>
      </c>
      <c r="G2169">
        <v>-3000</v>
      </c>
      <c r="H2169" t="s">
        <v>153</v>
      </c>
      <c r="I2169" t="s">
        <v>64</v>
      </c>
    </row>
    <row r="2170" spans="1:9">
      <c r="A2170" s="49">
        <v>45816</v>
      </c>
      <c r="B2170" s="50">
        <v>0.04396990740740741</v>
      </c>
      <c r="C2170" t="s">
        <v>155</v>
      </c>
      <c r="D2170" t="s">
        <v>155</v>
      </c>
      <c r="E2170" t="s">
        <v>32</v>
      </c>
      <c r="F2170" t="s">
        <v>246</v>
      </c>
      <c r="G2170">
        <v>-280000</v>
      </c>
      <c r="H2170" t="s">
        <v>153</v>
      </c>
      <c r="I2170" t="s">
        <v>64</v>
      </c>
    </row>
    <row r="2171" spans="1:9">
      <c r="A2171" s="49">
        <v>45815</v>
      </c>
      <c r="B2171" s="50">
        <v>0.9042939814814814</v>
      </c>
      <c r="C2171" t="s">
        <v>150</v>
      </c>
      <c r="D2171" t="s">
        <v>42</v>
      </c>
      <c r="E2171" t="s">
        <v>151</v>
      </c>
      <c r="F2171" t="s">
        <v>152</v>
      </c>
      <c r="G2171">
        <v>-11000</v>
      </c>
      <c r="H2171" t="s">
        <v>153</v>
      </c>
      <c r="I2171" t="s">
        <v>64</v>
      </c>
    </row>
    <row r="2172" spans="1:9">
      <c r="A2172" s="49">
        <v>45815</v>
      </c>
      <c r="B2172" s="50">
        <v>0.8074652777777778</v>
      </c>
      <c r="C2172" t="s">
        <v>155</v>
      </c>
      <c r="D2172" t="s">
        <v>155</v>
      </c>
      <c r="E2172" t="s">
        <v>32</v>
      </c>
      <c r="F2172" t="s">
        <v>902</v>
      </c>
      <c r="G2172">
        <v>150000</v>
      </c>
      <c r="H2172" t="s">
        <v>153</v>
      </c>
      <c r="I2172" t="s">
        <v>64</v>
      </c>
    </row>
    <row r="2173" spans="1:9">
      <c r="A2173" s="49">
        <v>45815</v>
      </c>
      <c r="B2173" s="50">
        <v>0.2962384259259259</v>
      </c>
      <c r="C2173" t="s">
        <v>155</v>
      </c>
      <c r="D2173" t="s">
        <v>155</v>
      </c>
      <c r="E2173" t="s">
        <v>32</v>
      </c>
      <c r="F2173" t="s">
        <v>910</v>
      </c>
      <c r="G2173">
        <v>499000</v>
      </c>
      <c r="H2173" t="s">
        <v>153</v>
      </c>
      <c r="I2173" t="s">
        <v>64</v>
      </c>
    </row>
    <row r="2174" spans="1:9">
      <c r="A2174" s="49">
        <v>45815</v>
      </c>
      <c r="B2174" s="50">
        <v>0.04210648148148148</v>
      </c>
      <c r="C2174" t="s">
        <v>150</v>
      </c>
      <c r="D2174" t="s">
        <v>35</v>
      </c>
      <c r="E2174" t="s">
        <v>174</v>
      </c>
      <c r="F2174" t="s">
        <v>314</v>
      </c>
      <c r="G2174">
        <v>-20000</v>
      </c>
      <c r="H2174" t="s">
        <v>153</v>
      </c>
      <c r="I2174" t="s">
        <v>64</v>
      </c>
    </row>
    <row r="2175" spans="1:9">
      <c r="A2175" s="49">
        <v>45814</v>
      </c>
      <c r="B2175" s="50">
        <v>0.877175925925926</v>
      </c>
      <c r="C2175" t="s">
        <v>155</v>
      </c>
      <c r="D2175" t="s">
        <v>158</v>
      </c>
      <c r="E2175" t="s">
        <v>32</v>
      </c>
      <c r="F2175" t="s">
        <v>159</v>
      </c>
      <c r="G2175">
        <v>1120400</v>
      </c>
      <c r="H2175" t="s">
        <v>153</v>
      </c>
      <c r="I2175" t="s">
        <v>157</v>
      </c>
    </row>
    <row r="2176" spans="1:9">
      <c r="A2176" s="49">
        <v>45814</v>
      </c>
      <c r="B2176" s="50">
        <v>0.877175925925926</v>
      </c>
      <c r="C2176" t="s">
        <v>155</v>
      </c>
      <c r="D2176" t="s">
        <v>158</v>
      </c>
      <c r="E2176" t="s">
        <v>32</v>
      </c>
      <c r="F2176" t="s">
        <v>160</v>
      </c>
      <c r="G2176">
        <v>-1120400</v>
      </c>
      <c r="H2176" t="s">
        <v>153</v>
      </c>
      <c r="I2176" t="s">
        <v>64</v>
      </c>
    </row>
    <row r="2177" spans="1:9">
      <c r="A2177" s="49">
        <v>45814</v>
      </c>
      <c r="B2177" s="50">
        <v>0.8771643518518518</v>
      </c>
      <c r="C2177" t="s">
        <v>155</v>
      </c>
      <c r="D2177" t="s">
        <v>158</v>
      </c>
      <c r="E2177" t="s">
        <v>32</v>
      </c>
      <c r="F2177" t="s">
        <v>159</v>
      </c>
      <c r="G2177">
        <v>2000000</v>
      </c>
      <c r="H2177" t="s">
        <v>153</v>
      </c>
      <c r="I2177" t="s">
        <v>157</v>
      </c>
    </row>
    <row r="2178" spans="1:9">
      <c r="A2178" s="49">
        <v>45814</v>
      </c>
      <c r="B2178" s="50">
        <v>0.8771643518518518</v>
      </c>
      <c r="C2178" t="s">
        <v>155</v>
      </c>
      <c r="D2178" t="s">
        <v>158</v>
      </c>
      <c r="E2178" t="s">
        <v>32</v>
      </c>
      <c r="F2178" t="s">
        <v>160</v>
      </c>
      <c r="G2178">
        <v>-2000000</v>
      </c>
      <c r="H2178" t="s">
        <v>153</v>
      </c>
      <c r="I2178" t="s">
        <v>64</v>
      </c>
    </row>
    <row r="2179" spans="1:9">
      <c r="A2179" s="49">
        <v>45814</v>
      </c>
      <c r="B2179" s="50">
        <v>0.7839467592592593</v>
      </c>
      <c r="C2179" t="s">
        <v>150</v>
      </c>
      <c r="D2179" t="s">
        <v>37</v>
      </c>
      <c r="E2179" t="s">
        <v>201</v>
      </c>
      <c r="F2179" t="s">
        <v>911</v>
      </c>
      <c r="G2179">
        <v>-166851</v>
      </c>
      <c r="H2179" t="s">
        <v>153</v>
      </c>
      <c r="I2179" t="s">
        <v>214</v>
      </c>
    </row>
    <row r="2180" spans="1:9">
      <c r="A2180" s="49">
        <v>45814</v>
      </c>
      <c r="B2180" s="50">
        <v>0.7786226851851852</v>
      </c>
      <c r="C2180" t="s">
        <v>155</v>
      </c>
      <c r="D2180" t="s">
        <v>155</v>
      </c>
      <c r="E2180" t="s">
        <v>32</v>
      </c>
      <c r="F2180" t="s">
        <v>912</v>
      </c>
      <c r="G2180">
        <v>499000</v>
      </c>
      <c r="H2180" t="s">
        <v>153</v>
      </c>
      <c r="I2180" t="s">
        <v>64</v>
      </c>
    </row>
    <row r="2181" spans="1:9">
      <c r="A2181" s="49">
        <v>45814</v>
      </c>
      <c r="B2181" s="50">
        <v>0.760150462962963</v>
      </c>
      <c r="C2181" t="s">
        <v>150</v>
      </c>
      <c r="D2181" t="s">
        <v>42</v>
      </c>
      <c r="E2181" t="s">
        <v>463</v>
      </c>
      <c r="F2181" t="s">
        <v>913</v>
      </c>
      <c r="G2181">
        <v>-40000</v>
      </c>
      <c r="H2181" t="s">
        <v>153</v>
      </c>
      <c r="I2181" t="s">
        <v>214</v>
      </c>
    </row>
    <row r="2182" spans="1:9">
      <c r="A2182" s="49">
        <v>45814</v>
      </c>
      <c r="B2182" s="50">
        <v>0.7168865740740741</v>
      </c>
      <c r="C2182" t="s">
        <v>150</v>
      </c>
      <c r="D2182" t="s">
        <v>35</v>
      </c>
      <c r="E2182" t="s">
        <v>169</v>
      </c>
      <c r="F2182" t="s">
        <v>739</v>
      </c>
      <c r="G2182">
        <v>-1824</v>
      </c>
      <c r="H2182" t="s">
        <v>153</v>
      </c>
      <c r="I2182" t="s">
        <v>164</v>
      </c>
    </row>
    <row r="2183" spans="1:9">
      <c r="A2183" s="49">
        <v>45813</v>
      </c>
      <c r="B2183" s="50">
        <v>0.778587962962963</v>
      </c>
      <c r="C2183" t="s">
        <v>150</v>
      </c>
      <c r="D2183" t="s">
        <v>35</v>
      </c>
      <c r="E2183" t="s">
        <v>169</v>
      </c>
      <c r="F2183" t="s">
        <v>170</v>
      </c>
      <c r="G2183">
        <v>-1610</v>
      </c>
      <c r="H2183" t="s">
        <v>153</v>
      </c>
      <c r="I2183" t="s">
        <v>171</v>
      </c>
    </row>
    <row r="2184" spans="1:9">
      <c r="A2184" s="49">
        <v>45813</v>
      </c>
      <c r="B2184" s="50">
        <v>0.778587962962963</v>
      </c>
      <c r="C2184" t="s">
        <v>167</v>
      </c>
      <c r="D2184" t="s">
        <v>31</v>
      </c>
      <c r="E2184" t="s">
        <v>32</v>
      </c>
      <c r="F2184" t="s">
        <v>168</v>
      </c>
      <c r="G2184">
        <v>3000</v>
      </c>
      <c r="H2184" t="s">
        <v>153</v>
      </c>
      <c r="I2184" t="s">
        <v>64</v>
      </c>
    </row>
    <row r="2185" spans="1:9">
      <c r="A2185" s="49">
        <v>45813</v>
      </c>
      <c r="B2185" s="50">
        <v>0.7741203703703704</v>
      </c>
      <c r="C2185" t="s">
        <v>150</v>
      </c>
      <c r="D2185" t="s">
        <v>35</v>
      </c>
      <c r="E2185" t="s">
        <v>169</v>
      </c>
      <c r="F2185" t="s">
        <v>170</v>
      </c>
      <c r="G2185">
        <v>3000</v>
      </c>
      <c r="H2185" t="s">
        <v>153</v>
      </c>
      <c r="I2185" t="s">
        <v>171</v>
      </c>
    </row>
    <row r="2186" spans="1:9">
      <c r="A2186" s="49">
        <v>45813</v>
      </c>
      <c r="B2186" s="50">
        <v>0.7741203703703704</v>
      </c>
      <c r="C2186" t="s">
        <v>150</v>
      </c>
      <c r="D2186" t="s">
        <v>40</v>
      </c>
      <c r="E2186" t="s">
        <v>172</v>
      </c>
      <c r="F2186" t="s">
        <v>173</v>
      </c>
      <c r="G2186">
        <v>-3000</v>
      </c>
      <c r="H2186" t="s">
        <v>153</v>
      </c>
      <c r="I2186" t="s">
        <v>64</v>
      </c>
    </row>
    <row r="2187" spans="1:9">
      <c r="A2187" s="49">
        <v>45813</v>
      </c>
      <c r="B2187" s="50">
        <v>0.7346064814814814</v>
      </c>
      <c r="C2187" t="s">
        <v>150</v>
      </c>
      <c r="D2187" t="s">
        <v>44</v>
      </c>
      <c r="E2187" t="s">
        <v>260</v>
      </c>
      <c r="F2187" t="s">
        <v>261</v>
      </c>
      <c r="G2187">
        <v>-20000</v>
      </c>
      <c r="H2187" t="s">
        <v>153</v>
      </c>
      <c r="I2187" t="s">
        <v>64</v>
      </c>
    </row>
    <row r="2188" spans="1:9">
      <c r="A2188" s="49">
        <v>45813</v>
      </c>
      <c r="B2188" s="50">
        <v>0.7104166666666667</v>
      </c>
      <c r="C2188" t="s">
        <v>167</v>
      </c>
      <c r="D2188" t="s">
        <v>31</v>
      </c>
      <c r="E2188" t="s">
        <v>32</v>
      </c>
      <c r="F2188" t="s">
        <v>168</v>
      </c>
      <c r="G2188">
        <v>20010</v>
      </c>
      <c r="H2188" t="s">
        <v>153</v>
      </c>
      <c r="I2188" t="s">
        <v>64</v>
      </c>
    </row>
    <row r="2189" spans="1:9">
      <c r="A2189" s="49">
        <v>45813</v>
      </c>
      <c r="B2189" s="50">
        <v>0.6032986111111112</v>
      </c>
      <c r="C2189" t="s">
        <v>150</v>
      </c>
      <c r="D2189" t="s">
        <v>37</v>
      </c>
      <c r="E2189" t="s">
        <v>457</v>
      </c>
      <c r="F2189" t="s">
        <v>914</v>
      </c>
      <c r="G2189">
        <v>-14000</v>
      </c>
      <c r="H2189" t="s">
        <v>153</v>
      </c>
      <c r="I2189" t="s">
        <v>214</v>
      </c>
    </row>
    <row r="2190" spans="1:9">
      <c r="A2190" s="49">
        <v>45813</v>
      </c>
      <c r="B2190" s="50">
        <v>0.5894791666666667</v>
      </c>
      <c r="C2190" t="s">
        <v>167</v>
      </c>
      <c r="D2190" t="s">
        <v>31</v>
      </c>
      <c r="E2190" t="s">
        <v>32</v>
      </c>
      <c r="F2190" t="s">
        <v>168</v>
      </c>
      <c r="G2190">
        <v>3000</v>
      </c>
      <c r="H2190" t="s">
        <v>153</v>
      </c>
      <c r="I2190" t="s">
        <v>64</v>
      </c>
    </row>
    <row r="2191" spans="1:9">
      <c r="A2191" s="49">
        <v>45813</v>
      </c>
      <c r="B2191" s="50">
        <v>0.5894560185185185</v>
      </c>
      <c r="C2191" t="s">
        <v>150</v>
      </c>
      <c r="D2191" t="s">
        <v>35</v>
      </c>
      <c r="E2191" t="s">
        <v>169</v>
      </c>
      <c r="F2191" t="s">
        <v>170</v>
      </c>
      <c r="G2191">
        <v>-1380</v>
      </c>
      <c r="H2191" t="s">
        <v>153</v>
      </c>
      <c r="I2191" t="s">
        <v>171</v>
      </c>
    </row>
    <row r="2192" spans="1:9">
      <c r="A2192" s="49">
        <v>45813</v>
      </c>
      <c r="B2192" s="50">
        <v>0.5894560185185185</v>
      </c>
      <c r="C2192" t="s">
        <v>150</v>
      </c>
      <c r="D2192" t="s">
        <v>35</v>
      </c>
      <c r="E2192" t="s">
        <v>169</v>
      </c>
      <c r="F2192" t="s">
        <v>170</v>
      </c>
      <c r="G2192">
        <v>-21390</v>
      </c>
      <c r="H2192" t="s">
        <v>153</v>
      </c>
      <c r="I2192" t="s">
        <v>171</v>
      </c>
    </row>
    <row r="2193" spans="1:9">
      <c r="A2193" s="49">
        <v>45813</v>
      </c>
      <c r="B2193" s="50">
        <v>0.5086342592592593</v>
      </c>
      <c r="C2193" t="s">
        <v>155</v>
      </c>
      <c r="D2193" t="s">
        <v>155</v>
      </c>
      <c r="E2193" t="s">
        <v>32</v>
      </c>
      <c r="F2193" t="s">
        <v>915</v>
      </c>
      <c r="G2193">
        <v>349000</v>
      </c>
      <c r="H2193" t="s">
        <v>153</v>
      </c>
      <c r="I2193" t="s">
        <v>64</v>
      </c>
    </row>
    <row r="2194" spans="1:9">
      <c r="A2194" s="49">
        <v>45813</v>
      </c>
      <c r="B2194" s="50">
        <v>0.5045717592592592</v>
      </c>
      <c r="C2194" t="s">
        <v>150</v>
      </c>
      <c r="D2194" t="s">
        <v>35</v>
      </c>
      <c r="E2194" t="s">
        <v>169</v>
      </c>
      <c r="F2194" t="s">
        <v>170</v>
      </c>
      <c r="G2194">
        <v>3000</v>
      </c>
      <c r="H2194" t="s">
        <v>153</v>
      </c>
      <c r="I2194" t="s">
        <v>171</v>
      </c>
    </row>
    <row r="2195" spans="1:9">
      <c r="A2195" s="49">
        <v>45813</v>
      </c>
      <c r="B2195" s="50">
        <v>0.5045601851851852</v>
      </c>
      <c r="C2195" t="s">
        <v>150</v>
      </c>
      <c r="D2195" t="s">
        <v>40</v>
      </c>
      <c r="E2195" t="s">
        <v>172</v>
      </c>
      <c r="F2195" t="s">
        <v>173</v>
      </c>
      <c r="G2195">
        <v>-3000</v>
      </c>
      <c r="H2195" t="s">
        <v>153</v>
      </c>
      <c r="I2195" t="s">
        <v>64</v>
      </c>
    </row>
    <row r="2196" spans="1:9">
      <c r="A2196" s="49">
        <v>45813</v>
      </c>
      <c r="B2196" s="50">
        <v>0.2560185185185185</v>
      </c>
      <c r="C2196" t="s">
        <v>150</v>
      </c>
      <c r="D2196" t="s">
        <v>35</v>
      </c>
      <c r="E2196" t="s">
        <v>482</v>
      </c>
      <c r="F2196" t="s">
        <v>916</v>
      </c>
      <c r="G2196">
        <v>-28500</v>
      </c>
      <c r="H2196" t="s">
        <v>153</v>
      </c>
      <c r="I2196" t="s">
        <v>214</v>
      </c>
    </row>
    <row r="2197" spans="1:9">
      <c r="A2197" s="49">
        <v>45813</v>
      </c>
      <c r="B2197" s="50">
        <v>0.2560185185185185</v>
      </c>
      <c r="C2197" t="s">
        <v>150</v>
      </c>
      <c r="D2197" t="s">
        <v>35</v>
      </c>
      <c r="E2197" t="s">
        <v>169</v>
      </c>
      <c r="F2197" t="s">
        <v>917</v>
      </c>
      <c r="G2197">
        <v>-10550</v>
      </c>
      <c r="H2197" t="s">
        <v>153</v>
      </c>
      <c r="I2197" t="s">
        <v>214</v>
      </c>
    </row>
    <row r="2198" spans="1:9">
      <c r="A2198" s="49">
        <v>45812</v>
      </c>
      <c r="B2198" s="50">
        <v>0.996099537037037</v>
      </c>
      <c r="C2198" t="s">
        <v>155</v>
      </c>
      <c r="D2198" t="s">
        <v>155</v>
      </c>
      <c r="E2198" t="s">
        <v>32</v>
      </c>
      <c r="F2198" t="s">
        <v>918</v>
      </c>
      <c r="G2198">
        <v>499000</v>
      </c>
      <c r="H2198" t="s">
        <v>153</v>
      </c>
      <c r="I2198" t="s">
        <v>64</v>
      </c>
    </row>
    <row r="2199" spans="1:9">
      <c r="A2199" s="49">
        <v>45812</v>
      </c>
      <c r="B2199" s="50">
        <v>0.9946874999999999</v>
      </c>
      <c r="C2199" t="s">
        <v>155</v>
      </c>
      <c r="D2199" t="s">
        <v>155</v>
      </c>
      <c r="E2199" t="s">
        <v>32</v>
      </c>
      <c r="F2199" t="s">
        <v>919</v>
      </c>
      <c r="G2199">
        <v>499000</v>
      </c>
      <c r="H2199" t="s">
        <v>153</v>
      </c>
      <c r="I2199" t="s">
        <v>64</v>
      </c>
    </row>
    <row r="2200" spans="1:9">
      <c r="A2200" s="49">
        <v>45812</v>
      </c>
      <c r="B2200" s="50">
        <v>0.7346527777777778</v>
      </c>
      <c r="C2200" t="s">
        <v>155</v>
      </c>
      <c r="D2200" t="s">
        <v>155</v>
      </c>
      <c r="E2200" t="s">
        <v>32</v>
      </c>
      <c r="F2200" t="s">
        <v>920</v>
      </c>
      <c r="G2200">
        <v>499000</v>
      </c>
      <c r="H2200" t="s">
        <v>153</v>
      </c>
      <c r="I2200" t="s">
        <v>64</v>
      </c>
    </row>
    <row r="2201" spans="1:9">
      <c r="A2201" s="49">
        <v>45812</v>
      </c>
      <c r="B2201" s="50">
        <v>0.5576388888888889</v>
      </c>
      <c r="C2201" t="s">
        <v>150</v>
      </c>
      <c r="D2201" t="s">
        <v>42</v>
      </c>
      <c r="E2201" t="s">
        <v>151</v>
      </c>
      <c r="F2201" t="s">
        <v>152</v>
      </c>
      <c r="G2201">
        <v>-32175</v>
      </c>
      <c r="H2201" t="s">
        <v>153</v>
      </c>
      <c r="I2201" t="s">
        <v>64</v>
      </c>
    </row>
    <row r="2202" spans="1:9">
      <c r="A2202" s="49">
        <v>45812</v>
      </c>
      <c r="B2202" s="50">
        <v>0.4396180555555556</v>
      </c>
      <c r="C2202" t="s">
        <v>150</v>
      </c>
      <c r="D2202" t="s">
        <v>44</v>
      </c>
      <c r="E2202" t="s">
        <v>225</v>
      </c>
      <c r="F2202" t="s">
        <v>372</v>
      </c>
      <c r="G2202">
        <v>-7890</v>
      </c>
      <c r="H2202" t="s">
        <v>153</v>
      </c>
      <c r="I2202" t="s">
        <v>64</v>
      </c>
    </row>
    <row r="2203" spans="1:9">
      <c r="A2203" s="49">
        <v>45812</v>
      </c>
      <c r="B2203" s="50">
        <v>0.4182407407407407</v>
      </c>
      <c r="C2203" t="s">
        <v>155</v>
      </c>
      <c r="D2203" t="s">
        <v>158</v>
      </c>
      <c r="E2203" t="s">
        <v>32</v>
      </c>
      <c r="F2203" t="s">
        <v>159</v>
      </c>
      <c r="G2203">
        <v>10000</v>
      </c>
      <c r="H2203" t="s">
        <v>153</v>
      </c>
      <c r="I2203" t="s">
        <v>157</v>
      </c>
    </row>
    <row r="2204" spans="1:9">
      <c r="A2204" s="49">
        <v>45812</v>
      </c>
      <c r="B2204" s="50">
        <v>0.4182407407407407</v>
      </c>
      <c r="C2204" t="s">
        <v>150</v>
      </c>
      <c r="D2204" t="s">
        <v>35</v>
      </c>
      <c r="E2204" t="s">
        <v>169</v>
      </c>
      <c r="F2204" t="s">
        <v>739</v>
      </c>
      <c r="G2204">
        <v>-3201</v>
      </c>
      <c r="H2204" t="s">
        <v>153</v>
      </c>
      <c r="I2204" t="s">
        <v>164</v>
      </c>
    </row>
    <row r="2205" spans="1:9">
      <c r="A2205" s="49">
        <v>45812</v>
      </c>
      <c r="B2205" s="50">
        <v>0.4182407407407407</v>
      </c>
      <c r="C2205" t="s">
        <v>155</v>
      </c>
      <c r="D2205" t="s">
        <v>158</v>
      </c>
      <c r="E2205" t="s">
        <v>32</v>
      </c>
      <c r="F2205" t="s">
        <v>160</v>
      </c>
      <c r="G2205">
        <v>-10000</v>
      </c>
      <c r="H2205" t="s">
        <v>153</v>
      </c>
      <c r="I2205" t="s">
        <v>64</v>
      </c>
    </row>
    <row r="2206" spans="1:9">
      <c r="A2206" s="49">
        <v>45811</v>
      </c>
      <c r="B2206" s="50">
        <v>0.9678009259259259</v>
      </c>
      <c r="C2206" t="s">
        <v>150</v>
      </c>
      <c r="D2206" t="s">
        <v>40</v>
      </c>
      <c r="E2206" t="s">
        <v>172</v>
      </c>
      <c r="F2206" t="s">
        <v>921</v>
      </c>
      <c r="G2206">
        <v>-9100</v>
      </c>
      <c r="H2206" t="s">
        <v>153</v>
      </c>
      <c r="I2206" t="s">
        <v>164</v>
      </c>
    </row>
    <row r="2207" spans="1:9">
      <c r="A2207" s="49">
        <v>45811</v>
      </c>
      <c r="B2207" s="50">
        <v>0.8614814814814815</v>
      </c>
      <c r="C2207" t="s">
        <v>155</v>
      </c>
      <c r="D2207" t="s">
        <v>155</v>
      </c>
      <c r="E2207" t="s">
        <v>32</v>
      </c>
      <c r="F2207" t="s">
        <v>922</v>
      </c>
      <c r="G2207">
        <v>499000</v>
      </c>
      <c r="H2207" t="s">
        <v>153</v>
      </c>
      <c r="I2207" t="s">
        <v>64</v>
      </c>
    </row>
    <row r="2208" spans="1:9">
      <c r="A2208" s="49">
        <v>45811</v>
      </c>
      <c r="B2208" s="50">
        <v>0.8202546296296296</v>
      </c>
      <c r="C2208" t="s">
        <v>150</v>
      </c>
      <c r="D2208" t="s">
        <v>40</v>
      </c>
      <c r="E2208" t="s">
        <v>380</v>
      </c>
      <c r="F2208" t="s">
        <v>901</v>
      </c>
      <c r="G2208">
        <v>-121000</v>
      </c>
      <c r="H2208" t="s">
        <v>153</v>
      </c>
      <c r="I2208" t="s">
        <v>171</v>
      </c>
    </row>
    <row r="2209" spans="1:9">
      <c r="A2209" s="49">
        <v>45811</v>
      </c>
      <c r="B2209" s="50">
        <v>0.7375578703703703</v>
      </c>
      <c r="C2209" t="s">
        <v>150</v>
      </c>
      <c r="D2209" t="s">
        <v>35</v>
      </c>
      <c r="E2209" t="s">
        <v>169</v>
      </c>
      <c r="F2209" t="s">
        <v>739</v>
      </c>
      <c r="G2209">
        <v>-459</v>
      </c>
      <c r="H2209" t="s">
        <v>153</v>
      </c>
      <c r="I2209" t="s">
        <v>164</v>
      </c>
    </row>
    <row r="2210" spans="1:9">
      <c r="A2210" s="49">
        <v>45811</v>
      </c>
      <c r="B2210" s="50">
        <v>0.7375578703703703</v>
      </c>
      <c r="C2210" t="s">
        <v>155</v>
      </c>
      <c r="D2210" t="s">
        <v>158</v>
      </c>
      <c r="E2210" t="s">
        <v>32</v>
      </c>
      <c r="F2210" t="s">
        <v>160</v>
      </c>
      <c r="G2210">
        <v>-10000</v>
      </c>
      <c r="H2210" t="s">
        <v>153</v>
      </c>
      <c r="I2210" t="s">
        <v>64</v>
      </c>
    </row>
    <row r="2211" spans="1:9">
      <c r="A2211" s="49">
        <v>45811</v>
      </c>
      <c r="B2211" s="50">
        <v>0.7375578703703703</v>
      </c>
      <c r="C2211" t="s">
        <v>155</v>
      </c>
      <c r="D2211" t="s">
        <v>158</v>
      </c>
      <c r="E2211" t="s">
        <v>32</v>
      </c>
      <c r="F2211" t="s">
        <v>159</v>
      </c>
      <c r="G2211">
        <v>10000</v>
      </c>
      <c r="H2211" t="s">
        <v>153</v>
      </c>
      <c r="I2211" t="s">
        <v>157</v>
      </c>
    </row>
    <row r="2212" spans="1:9">
      <c r="A2212" s="49">
        <v>45811</v>
      </c>
      <c r="B2212" s="50">
        <v>0.6419328703703704</v>
      </c>
      <c r="C2212" t="s">
        <v>150</v>
      </c>
      <c r="D2212" t="s">
        <v>35</v>
      </c>
      <c r="E2212" t="s">
        <v>169</v>
      </c>
      <c r="F2212" t="s">
        <v>739</v>
      </c>
      <c r="G2212">
        <v>-1518</v>
      </c>
      <c r="H2212" t="s">
        <v>153</v>
      </c>
      <c r="I2212" t="s">
        <v>164</v>
      </c>
    </row>
    <row r="2213" spans="1:9">
      <c r="A2213" s="49">
        <v>45811</v>
      </c>
      <c r="B2213" s="50">
        <v>0.6089467592592592</v>
      </c>
      <c r="C2213" t="s">
        <v>155</v>
      </c>
      <c r="D2213" t="s">
        <v>158</v>
      </c>
      <c r="E2213" t="s">
        <v>32</v>
      </c>
      <c r="F2213" t="s">
        <v>7</v>
      </c>
      <c r="G2213">
        <v>-10000000</v>
      </c>
      <c r="H2213" t="s">
        <v>153</v>
      </c>
      <c r="I2213" t="s">
        <v>64</v>
      </c>
    </row>
    <row r="2214" spans="1:9">
      <c r="A2214" s="49">
        <v>45811</v>
      </c>
      <c r="B2214" s="50">
        <v>0.5186226851851852</v>
      </c>
      <c r="C2214" t="s">
        <v>155</v>
      </c>
      <c r="D2214" t="s">
        <v>155</v>
      </c>
      <c r="E2214" t="s">
        <v>32</v>
      </c>
      <c r="F2214" t="s">
        <v>923</v>
      </c>
      <c r="G2214">
        <v>499000</v>
      </c>
      <c r="H2214" t="s">
        <v>153</v>
      </c>
      <c r="I2214" t="s">
        <v>64</v>
      </c>
    </row>
    <row r="2215" spans="1:9">
      <c r="A2215" s="49">
        <v>45811</v>
      </c>
      <c r="B2215" s="50">
        <v>0.5169444444444444</v>
      </c>
      <c r="C2215" t="s">
        <v>155</v>
      </c>
      <c r="D2215" t="s">
        <v>155</v>
      </c>
      <c r="E2215" t="s">
        <v>32</v>
      </c>
      <c r="F2215" t="s">
        <v>924</v>
      </c>
      <c r="G2215">
        <v>499000</v>
      </c>
      <c r="H2215" t="s">
        <v>153</v>
      </c>
      <c r="I2215" t="s">
        <v>64</v>
      </c>
    </row>
    <row r="2216" spans="1:9">
      <c r="A2216" s="49">
        <v>45811</v>
      </c>
      <c r="B2216" s="50">
        <v>0.01881944444444444</v>
      </c>
      <c r="C2216" t="s">
        <v>150</v>
      </c>
      <c r="D2216" t="s">
        <v>40</v>
      </c>
      <c r="E2216" t="s">
        <v>172</v>
      </c>
      <c r="F2216" t="s">
        <v>873</v>
      </c>
      <c r="G2216">
        <v>-3800</v>
      </c>
      <c r="H2216" t="s">
        <v>153</v>
      </c>
      <c r="I2216" t="s">
        <v>164</v>
      </c>
    </row>
    <row r="2217" spans="1:9">
      <c r="A2217" s="49">
        <v>45810</v>
      </c>
      <c r="B2217" s="50">
        <v>0.6933217592592592</v>
      </c>
      <c r="C2217" t="s">
        <v>155</v>
      </c>
      <c r="D2217" t="s">
        <v>158</v>
      </c>
      <c r="E2217" t="s">
        <v>32</v>
      </c>
      <c r="F2217" t="s">
        <v>7</v>
      </c>
      <c r="G2217">
        <v>-10000000</v>
      </c>
      <c r="H2217" t="s">
        <v>153</v>
      </c>
      <c r="I2217" t="s">
        <v>64</v>
      </c>
    </row>
    <row r="2218" spans="1:9">
      <c r="A2218" s="49">
        <v>45810</v>
      </c>
      <c r="B2218" s="50">
        <v>0.6815509259259259</v>
      </c>
      <c r="C2218" t="s">
        <v>155</v>
      </c>
      <c r="D2218" t="s">
        <v>155</v>
      </c>
      <c r="E2218" t="s">
        <v>32</v>
      </c>
      <c r="F2218" t="s">
        <v>713</v>
      </c>
      <c r="G2218">
        <v>300000</v>
      </c>
      <c r="H2218" t="s">
        <v>153</v>
      </c>
      <c r="I2218" t="s">
        <v>64</v>
      </c>
    </row>
    <row r="2219" spans="1:9">
      <c r="A2219" s="49">
        <v>45810</v>
      </c>
      <c r="B2219" s="50">
        <v>0.4824189814814815</v>
      </c>
      <c r="C2219" t="s">
        <v>150</v>
      </c>
      <c r="D2219" t="s">
        <v>35</v>
      </c>
      <c r="E2219" t="s">
        <v>169</v>
      </c>
      <c r="F2219" t="s">
        <v>170</v>
      </c>
      <c r="G2219">
        <v>-4900</v>
      </c>
      <c r="H2219" t="s">
        <v>153</v>
      </c>
      <c r="I2219" t="s">
        <v>171</v>
      </c>
    </row>
    <row r="2220" spans="1:9">
      <c r="A2220" s="49">
        <v>45810</v>
      </c>
      <c r="B2220" s="50">
        <v>0.3689467592592592</v>
      </c>
      <c r="C2220" t="s">
        <v>150</v>
      </c>
      <c r="D2220" t="s">
        <v>44</v>
      </c>
      <c r="E2220" t="s">
        <v>315</v>
      </c>
      <c r="F2220" t="s">
        <v>316</v>
      </c>
      <c r="G2220">
        <v>-3300</v>
      </c>
      <c r="H2220" t="s">
        <v>153</v>
      </c>
      <c r="I2220" t="s">
        <v>164</v>
      </c>
    </row>
    <row r="2221" spans="1:9">
      <c r="A2221" s="49">
        <v>45810</v>
      </c>
      <c r="B2221" s="50">
        <v>0.310162037037037</v>
      </c>
      <c r="C2221" t="s">
        <v>155</v>
      </c>
      <c r="D2221" t="s">
        <v>155</v>
      </c>
      <c r="E2221" t="s">
        <v>32</v>
      </c>
      <c r="F2221" t="s">
        <v>706</v>
      </c>
      <c r="G2221">
        <v>300000</v>
      </c>
      <c r="H2221" t="s">
        <v>153</v>
      </c>
      <c r="I2221" t="s">
        <v>64</v>
      </c>
    </row>
    <row r="2222" spans="1:9">
      <c r="A2222" s="49">
        <v>45809</v>
      </c>
      <c r="B2222" s="50">
        <v>0.8834953703703704</v>
      </c>
      <c r="C2222" t="s">
        <v>150</v>
      </c>
      <c r="D2222" t="s">
        <v>44</v>
      </c>
      <c r="E2222" t="s">
        <v>225</v>
      </c>
      <c r="F2222" t="s">
        <v>395</v>
      </c>
      <c r="G2222">
        <v>-4990</v>
      </c>
      <c r="H2222" t="s">
        <v>153</v>
      </c>
      <c r="I2222" t="s">
        <v>171</v>
      </c>
    </row>
    <row r="2223" spans="1:9">
      <c r="A2223" s="49">
        <v>45809</v>
      </c>
      <c r="B2223" s="50">
        <v>0.4733333333333333</v>
      </c>
      <c r="C2223" t="s">
        <v>155</v>
      </c>
      <c r="D2223" t="s">
        <v>155</v>
      </c>
      <c r="E2223" t="s">
        <v>32</v>
      </c>
      <c r="F2223" t="s">
        <v>925</v>
      </c>
      <c r="G2223">
        <v>300000</v>
      </c>
      <c r="H2223" t="s">
        <v>153</v>
      </c>
      <c r="I2223" t="s">
        <v>64</v>
      </c>
    </row>
    <row r="2224" spans="1:9">
      <c r="A2224" s="49">
        <v>45808</v>
      </c>
      <c r="B2224" s="50">
        <v>0.9699884259259259</v>
      </c>
      <c r="C2224" t="s">
        <v>155</v>
      </c>
      <c r="D2224" t="s">
        <v>155</v>
      </c>
      <c r="E2224" t="s">
        <v>32</v>
      </c>
      <c r="F2224" t="s">
        <v>926</v>
      </c>
      <c r="G2224">
        <v>499000</v>
      </c>
      <c r="H2224" t="s">
        <v>153</v>
      </c>
      <c r="I2224" t="s">
        <v>64</v>
      </c>
    </row>
    <row r="2225" spans="1:9">
      <c r="A2225" s="49">
        <v>45808</v>
      </c>
      <c r="B2225" s="50">
        <v>0.5031018518518519</v>
      </c>
      <c r="C2225" t="s">
        <v>150</v>
      </c>
      <c r="D2225" t="s">
        <v>42</v>
      </c>
      <c r="E2225" t="s">
        <v>151</v>
      </c>
      <c r="F2225" t="s">
        <v>152</v>
      </c>
      <c r="G2225">
        <v>-5900</v>
      </c>
      <c r="H2225" t="s">
        <v>153</v>
      </c>
      <c r="I2225" t="s">
        <v>64</v>
      </c>
    </row>
    <row r="2226" spans="1:9">
      <c r="A2226" s="49">
        <v>45808</v>
      </c>
      <c r="B2226" s="50">
        <v>0.0653125</v>
      </c>
      <c r="C2226" t="s">
        <v>150</v>
      </c>
      <c r="D2226" t="s">
        <v>35</v>
      </c>
      <c r="E2226" t="s">
        <v>174</v>
      </c>
      <c r="F2226" t="s">
        <v>314</v>
      </c>
      <c r="G2226">
        <v>-30000</v>
      </c>
      <c r="H2226" t="s">
        <v>153</v>
      </c>
      <c r="I2226" t="s">
        <v>64</v>
      </c>
    </row>
    <row r="2227" spans="1:9">
      <c r="A2227" s="49">
        <v>45807</v>
      </c>
      <c r="B2227" s="50">
        <v>0.8615972222222222</v>
      </c>
      <c r="C2227" t="s">
        <v>150</v>
      </c>
      <c r="D2227" t="s">
        <v>40</v>
      </c>
      <c r="E2227" t="s">
        <v>172</v>
      </c>
      <c r="F2227" t="s">
        <v>383</v>
      </c>
      <c r="G2227">
        <v>-1100</v>
      </c>
      <c r="H2227" t="s">
        <v>153</v>
      </c>
      <c r="I2227" t="s">
        <v>164</v>
      </c>
    </row>
    <row r="2228" spans="1:9">
      <c r="A2228" s="49">
        <v>45807</v>
      </c>
      <c r="B2228" s="50">
        <v>0.8615972222222222</v>
      </c>
      <c r="C2228" t="s">
        <v>155</v>
      </c>
      <c r="D2228" t="s">
        <v>158</v>
      </c>
      <c r="E2228" t="s">
        <v>32</v>
      </c>
      <c r="F2228" t="s">
        <v>159</v>
      </c>
      <c r="G2228">
        <v>10000</v>
      </c>
      <c r="H2228" t="s">
        <v>153</v>
      </c>
      <c r="I2228" t="s">
        <v>157</v>
      </c>
    </row>
    <row r="2229" spans="1:9">
      <c r="A2229" s="49">
        <v>45807</v>
      </c>
      <c r="B2229" s="50">
        <v>0.8615972222222222</v>
      </c>
      <c r="C2229" t="s">
        <v>155</v>
      </c>
      <c r="D2229" t="s">
        <v>158</v>
      </c>
      <c r="E2229" t="s">
        <v>32</v>
      </c>
      <c r="F2229" t="s">
        <v>160</v>
      </c>
      <c r="G2229">
        <v>-10000</v>
      </c>
      <c r="H2229" t="s">
        <v>153</v>
      </c>
      <c r="I2229" t="s">
        <v>64</v>
      </c>
    </row>
    <row r="2230" spans="1:9">
      <c r="A2230" s="49">
        <v>45807</v>
      </c>
      <c r="B2230" s="50">
        <v>0.8413078703703704</v>
      </c>
      <c r="C2230" t="s">
        <v>150</v>
      </c>
      <c r="D2230" t="s">
        <v>42</v>
      </c>
      <c r="E2230" t="s">
        <v>177</v>
      </c>
      <c r="F2230" t="s">
        <v>477</v>
      </c>
      <c r="G2230">
        <v>-1600</v>
      </c>
      <c r="H2230" t="s">
        <v>153</v>
      </c>
      <c r="I2230" t="s">
        <v>214</v>
      </c>
    </row>
    <row r="2231" spans="1:9">
      <c r="A2231" s="49">
        <v>45807</v>
      </c>
      <c r="B2231" s="50">
        <v>0.6733796296296296</v>
      </c>
      <c r="C2231" t="s">
        <v>150</v>
      </c>
      <c r="D2231" t="s">
        <v>42</v>
      </c>
      <c r="E2231" t="s">
        <v>177</v>
      </c>
      <c r="F2231" t="s">
        <v>927</v>
      </c>
      <c r="G2231">
        <v>-9900</v>
      </c>
      <c r="H2231" t="s">
        <v>153</v>
      </c>
      <c r="I2231" t="s">
        <v>214</v>
      </c>
    </row>
    <row r="2232" spans="1:9">
      <c r="A2232" s="49">
        <v>45807</v>
      </c>
      <c r="B2232" s="50">
        <v>0.6279166666666667</v>
      </c>
      <c r="C2232" t="s">
        <v>155</v>
      </c>
      <c r="D2232" t="s">
        <v>155</v>
      </c>
      <c r="E2232" t="s">
        <v>32</v>
      </c>
      <c r="F2232" t="s">
        <v>928</v>
      </c>
      <c r="G2232">
        <v>-210000</v>
      </c>
      <c r="H2232" t="s">
        <v>153</v>
      </c>
      <c r="I2232" t="s">
        <v>157</v>
      </c>
    </row>
    <row r="2233" spans="1:9">
      <c r="A2233" s="49">
        <v>45807</v>
      </c>
      <c r="B2233" s="50">
        <v>0.6279166666666667</v>
      </c>
      <c r="C2233" t="s">
        <v>155</v>
      </c>
      <c r="D2233" t="s">
        <v>158</v>
      </c>
      <c r="E2233" t="s">
        <v>32</v>
      </c>
      <c r="F2233" t="s">
        <v>160</v>
      </c>
      <c r="G2233">
        <v>-205418</v>
      </c>
      <c r="H2233" t="s">
        <v>153</v>
      </c>
      <c r="I2233" t="s">
        <v>64</v>
      </c>
    </row>
    <row r="2234" spans="1:9">
      <c r="A2234" s="49">
        <v>45807</v>
      </c>
      <c r="B2234" s="50">
        <v>0.6279050925925926</v>
      </c>
      <c r="C2234" t="s">
        <v>155</v>
      </c>
      <c r="D2234" t="s">
        <v>158</v>
      </c>
      <c r="E2234" t="s">
        <v>32</v>
      </c>
      <c r="F2234" t="s">
        <v>159</v>
      </c>
      <c r="G2234">
        <v>205418</v>
      </c>
      <c r="H2234" t="s">
        <v>153</v>
      </c>
      <c r="I2234" t="s">
        <v>157</v>
      </c>
    </row>
    <row r="2235" spans="1:9">
      <c r="A2235" s="49">
        <v>45807</v>
      </c>
      <c r="B2235" s="50">
        <v>0.5978703703703704</v>
      </c>
      <c r="C2235" t="s">
        <v>167</v>
      </c>
      <c r="D2235" t="s">
        <v>31</v>
      </c>
      <c r="E2235" t="s">
        <v>32</v>
      </c>
      <c r="F2235" t="s">
        <v>168</v>
      </c>
      <c r="G2235">
        <v>3000</v>
      </c>
      <c r="H2235" t="s">
        <v>153</v>
      </c>
      <c r="I2235" t="s">
        <v>64</v>
      </c>
    </row>
    <row r="2236" spans="1:9">
      <c r="A2236" s="49">
        <v>45807</v>
      </c>
      <c r="B2236" s="50">
        <v>0.5978587962962963</v>
      </c>
      <c r="C2236" t="s">
        <v>150</v>
      </c>
      <c r="D2236" t="s">
        <v>35</v>
      </c>
      <c r="E2236" t="s">
        <v>169</v>
      </c>
      <c r="F2236" t="s">
        <v>170</v>
      </c>
      <c r="G2236">
        <v>-920</v>
      </c>
      <c r="H2236" t="s">
        <v>153</v>
      </c>
      <c r="I2236" t="s">
        <v>171</v>
      </c>
    </row>
    <row r="2237" spans="1:9">
      <c r="A2237" s="49">
        <v>45807</v>
      </c>
      <c r="B2237" s="50">
        <v>0.5956134259259259</v>
      </c>
      <c r="C2237" t="s">
        <v>150</v>
      </c>
      <c r="D2237" t="s">
        <v>35</v>
      </c>
      <c r="E2237" t="s">
        <v>169</v>
      </c>
      <c r="F2237" t="s">
        <v>170</v>
      </c>
      <c r="G2237">
        <v>3000</v>
      </c>
      <c r="H2237" t="s">
        <v>153</v>
      </c>
      <c r="I2237" t="s">
        <v>171</v>
      </c>
    </row>
    <row r="2238" spans="1:9">
      <c r="A2238" s="49">
        <v>45807</v>
      </c>
      <c r="B2238" s="50">
        <v>0.5956018518518519</v>
      </c>
      <c r="C2238" t="s">
        <v>150</v>
      </c>
      <c r="D2238" t="s">
        <v>40</v>
      </c>
      <c r="E2238" t="s">
        <v>172</v>
      </c>
      <c r="F2238" t="s">
        <v>173</v>
      </c>
      <c r="G2238">
        <v>-3000</v>
      </c>
      <c r="H2238" t="s">
        <v>153</v>
      </c>
      <c r="I2238" t="s">
        <v>64</v>
      </c>
    </row>
    <row r="2239" spans="1:9">
      <c r="A2239" s="49">
        <v>45807</v>
      </c>
      <c r="B2239" s="50">
        <v>0.5605671296296296</v>
      </c>
      <c r="C2239" t="s">
        <v>150</v>
      </c>
      <c r="D2239" t="s">
        <v>40</v>
      </c>
      <c r="E2239" t="s">
        <v>172</v>
      </c>
      <c r="F2239" t="s">
        <v>873</v>
      </c>
      <c r="G2239">
        <v>-1900</v>
      </c>
      <c r="H2239" t="s">
        <v>153</v>
      </c>
      <c r="I2239" t="s">
        <v>164</v>
      </c>
    </row>
    <row r="2240" spans="1:9">
      <c r="A2240" s="49">
        <v>45807</v>
      </c>
      <c r="B2240" s="50">
        <v>0.5033449074074074</v>
      </c>
      <c r="C2240" t="s">
        <v>155</v>
      </c>
      <c r="D2240" t="s">
        <v>155</v>
      </c>
      <c r="E2240" t="s">
        <v>32</v>
      </c>
      <c r="F2240" t="s">
        <v>929</v>
      </c>
      <c r="G2240">
        <v>499000</v>
      </c>
      <c r="H2240" t="s">
        <v>153</v>
      </c>
      <c r="I2240" t="s">
        <v>64</v>
      </c>
    </row>
    <row r="2241" spans="1:9">
      <c r="A2241" s="49">
        <v>45807</v>
      </c>
      <c r="B2241" s="50">
        <v>0.3265972222222222</v>
      </c>
      <c r="C2241" t="s">
        <v>155</v>
      </c>
      <c r="D2241" t="s">
        <v>155</v>
      </c>
      <c r="E2241" t="s">
        <v>32</v>
      </c>
      <c r="F2241" t="s">
        <v>930</v>
      </c>
      <c r="G2241">
        <v>499000</v>
      </c>
      <c r="H2241" t="s">
        <v>153</v>
      </c>
      <c r="I2241" t="s">
        <v>64</v>
      </c>
    </row>
    <row r="2242" spans="1:9">
      <c r="A2242" s="49">
        <v>45806</v>
      </c>
      <c r="B2242" s="50">
        <v>0.957962962962963</v>
      </c>
      <c r="C2242" t="s">
        <v>150</v>
      </c>
      <c r="D2242" t="s">
        <v>36</v>
      </c>
      <c r="E2242" t="s">
        <v>377</v>
      </c>
      <c r="F2242" t="s">
        <v>687</v>
      </c>
      <c r="G2242">
        <v>-3384500</v>
      </c>
      <c r="H2242" t="s">
        <v>153</v>
      </c>
      <c r="I2242" t="s">
        <v>64</v>
      </c>
    </row>
    <row r="2243" spans="1:9">
      <c r="A2243" s="49">
        <v>45806</v>
      </c>
      <c r="B2243" s="50">
        <v>0.6641203703703704</v>
      </c>
      <c r="C2243" t="s">
        <v>150</v>
      </c>
      <c r="D2243" t="s">
        <v>48</v>
      </c>
      <c r="E2243" t="s">
        <v>185</v>
      </c>
      <c r="F2243" t="s">
        <v>886</v>
      </c>
      <c r="G2243">
        <v>-2000</v>
      </c>
      <c r="H2243" t="s">
        <v>153</v>
      </c>
      <c r="I2243" t="s">
        <v>164</v>
      </c>
    </row>
    <row r="2244" spans="1:9">
      <c r="A2244" s="49">
        <v>45806</v>
      </c>
      <c r="B2244" s="50">
        <v>0.5655671296296296</v>
      </c>
      <c r="C2244" t="s">
        <v>150</v>
      </c>
      <c r="D2244" t="s">
        <v>44</v>
      </c>
      <c r="E2244" t="s">
        <v>225</v>
      </c>
      <c r="F2244" t="s">
        <v>395</v>
      </c>
      <c r="G2244">
        <v>-14900</v>
      </c>
      <c r="H2244" t="s">
        <v>153</v>
      </c>
      <c r="I2244" t="s">
        <v>171</v>
      </c>
    </row>
    <row r="2245" spans="1:9">
      <c r="A2245" s="49">
        <v>45806</v>
      </c>
      <c r="B2245" s="50">
        <v>0.3911342592592593</v>
      </c>
      <c r="C2245" t="s">
        <v>155</v>
      </c>
      <c r="D2245" t="s">
        <v>155</v>
      </c>
      <c r="E2245" t="s">
        <v>32</v>
      </c>
      <c r="F2245" t="s">
        <v>931</v>
      </c>
      <c r="G2245">
        <v>499000</v>
      </c>
      <c r="H2245" t="s">
        <v>153</v>
      </c>
      <c r="I2245" t="s">
        <v>64</v>
      </c>
    </row>
    <row r="2246" spans="1:9">
      <c r="A2246" s="49">
        <v>45806</v>
      </c>
      <c r="B2246" s="50">
        <v>0.08497685185185185</v>
      </c>
      <c r="C2246" t="s">
        <v>150</v>
      </c>
      <c r="D2246" t="s">
        <v>44</v>
      </c>
      <c r="E2246" t="s">
        <v>225</v>
      </c>
      <c r="F2246" t="s">
        <v>932</v>
      </c>
      <c r="G2246">
        <v>-28104</v>
      </c>
      <c r="H2246" t="s">
        <v>153</v>
      </c>
      <c r="I2246" t="s">
        <v>214</v>
      </c>
    </row>
    <row r="2247" spans="1:9">
      <c r="A2247" s="49">
        <v>45806</v>
      </c>
      <c r="B2247" s="50">
        <v>0.02399305555555556</v>
      </c>
      <c r="C2247" t="s">
        <v>155</v>
      </c>
      <c r="D2247" t="s">
        <v>241</v>
      </c>
      <c r="E2247" t="s">
        <v>32</v>
      </c>
      <c r="F2247" t="s">
        <v>933</v>
      </c>
      <c r="G2247">
        <v>108100</v>
      </c>
      <c r="H2247" t="s">
        <v>153</v>
      </c>
      <c r="I2247" t="s">
        <v>64</v>
      </c>
    </row>
    <row r="2248" spans="1:9">
      <c r="A2248" s="49">
        <v>45805</v>
      </c>
      <c r="B2248" s="50">
        <v>0.9384837962962963</v>
      </c>
      <c r="C2248" t="s">
        <v>155</v>
      </c>
      <c r="D2248" t="s">
        <v>155</v>
      </c>
      <c r="E2248" t="s">
        <v>32</v>
      </c>
      <c r="F2248" t="s">
        <v>246</v>
      </c>
      <c r="G2248">
        <v>-108100</v>
      </c>
      <c r="H2248" t="s">
        <v>153</v>
      </c>
      <c r="I2248" t="s">
        <v>64</v>
      </c>
    </row>
    <row r="2249" spans="1:9">
      <c r="A2249" s="49">
        <v>45805</v>
      </c>
      <c r="B2249" s="50">
        <v>0.9076851851851852</v>
      </c>
      <c r="C2249" t="s">
        <v>150</v>
      </c>
      <c r="D2249" t="s">
        <v>35</v>
      </c>
      <c r="E2249" t="s">
        <v>169</v>
      </c>
      <c r="F2249" t="s">
        <v>739</v>
      </c>
      <c r="G2249">
        <v>-765</v>
      </c>
      <c r="H2249" t="s">
        <v>153</v>
      </c>
      <c r="I2249" t="s">
        <v>164</v>
      </c>
    </row>
    <row r="2250" spans="1:9">
      <c r="A2250" s="49">
        <v>45805</v>
      </c>
      <c r="B2250" s="50">
        <v>0.9037847222222222</v>
      </c>
      <c r="C2250" t="s">
        <v>155</v>
      </c>
      <c r="D2250" t="s">
        <v>158</v>
      </c>
      <c r="E2250" t="s">
        <v>32</v>
      </c>
      <c r="F2250" t="s">
        <v>160</v>
      </c>
      <c r="G2250">
        <v>-10000</v>
      </c>
      <c r="H2250" t="s">
        <v>153</v>
      </c>
      <c r="I2250" t="s">
        <v>64</v>
      </c>
    </row>
    <row r="2251" spans="1:9">
      <c r="A2251" s="49">
        <v>45805</v>
      </c>
      <c r="B2251" s="50">
        <v>0.9037731481481481</v>
      </c>
      <c r="C2251" t="s">
        <v>150</v>
      </c>
      <c r="D2251" t="s">
        <v>35</v>
      </c>
      <c r="E2251" t="s">
        <v>169</v>
      </c>
      <c r="F2251" t="s">
        <v>739</v>
      </c>
      <c r="G2251">
        <v>-753</v>
      </c>
      <c r="H2251" t="s">
        <v>153</v>
      </c>
      <c r="I2251" t="s">
        <v>164</v>
      </c>
    </row>
    <row r="2252" spans="1:9">
      <c r="A2252" s="49">
        <v>45805</v>
      </c>
      <c r="B2252" s="50">
        <v>0.9037731481481481</v>
      </c>
      <c r="C2252" t="s">
        <v>155</v>
      </c>
      <c r="D2252" t="s">
        <v>158</v>
      </c>
      <c r="E2252" t="s">
        <v>32</v>
      </c>
      <c r="F2252" t="s">
        <v>159</v>
      </c>
      <c r="G2252">
        <v>10000</v>
      </c>
      <c r="H2252" t="s">
        <v>153</v>
      </c>
      <c r="I2252" t="s">
        <v>157</v>
      </c>
    </row>
    <row r="2253" spans="1:9">
      <c r="A2253" s="49">
        <v>45805</v>
      </c>
      <c r="B2253" s="50">
        <v>0.5298032407407407</v>
      </c>
      <c r="C2253" t="s">
        <v>155</v>
      </c>
      <c r="D2253" t="s">
        <v>155</v>
      </c>
      <c r="E2253" t="s">
        <v>32</v>
      </c>
      <c r="F2253" t="s">
        <v>934</v>
      </c>
      <c r="G2253">
        <v>300000</v>
      </c>
      <c r="H2253" t="s">
        <v>153</v>
      </c>
      <c r="I2253" t="s">
        <v>64</v>
      </c>
    </row>
    <row r="2254" spans="1:9">
      <c r="A2254" s="49">
        <v>45805</v>
      </c>
      <c r="B2254" s="50">
        <v>0.07126157407407407</v>
      </c>
      <c r="C2254" t="s">
        <v>150</v>
      </c>
      <c r="D2254" t="s">
        <v>40</v>
      </c>
      <c r="E2254" t="s">
        <v>172</v>
      </c>
      <c r="F2254" t="s">
        <v>935</v>
      </c>
      <c r="G2254">
        <v>-52150</v>
      </c>
      <c r="H2254" t="s">
        <v>153</v>
      </c>
      <c r="I2254" t="s">
        <v>214</v>
      </c>
    </row>
    <row r="2255" spans="1:9">
      <c r="A2255" s="49">
        <v>45805</v>
      </c>
      <c r="B2255" s="50">
        <v>0.0699537037037037</v>
      </c>
      <c r="C2255" t="s">
        <v>150</v>
      </c>
      <c r="D2255" t="s">
        <v>40</v>
      </c>
      <c r="E2255" t="s">
        <v>172</v>
      </c>
      <c r="F2255" t="s">
        <v>935</v>
      </c>
      <c r="G2255">
        <v>-6800</v>
      </c>
      <c r="H2255" t="s">
        <v>153</v>
      </c>
      <c r="I2255" t="s">
        <v>214</v>
      </c>
    </row>
    <row r="2256" spans="1:9">
      <c r="A2256" s="49">
        <v>45804</v>
      </c>
      <c r="B2256" s="50">
        <v>0.9390277777777778</v>
      </c>
      <c r="C2256" t="s">
        <v>150</v>
      </c>
      <c r="D2256" t="s">
        <v>48</v>
      </c>
      <c r="E2256" t="s">
        <v>574</v>
      </c>
      <c r="F2256" t="s">
        <v>936</v>
      </c>
      <c r="G2256">
        <v>-29100</v>
      </c>
      <c r="H2256" t="s">
        <v>153</v>
      </c>
      <c r="I2256" t="s">
        <v>164</v>
      </c>
    </row>
    <row r="2257" spans="1:9">
      <c r="A2257" s="49">
        <v>45804</v>
      </c>
      <c r="B2257" s="50">
        <v>0.9390277777777778</v>
      </c>
      <c r="C2257" t="s">
        <v>155</v>
      </c>
      <c r="D2257" t="s">
        <v>158</v>
      </c>
      <c r="E2257" t="s">
        <v>32</v>
      </c>
      <c r="F2257" t="s">
        <v>159</v>
      </c>
      <c r="G2257">
        <v>20618</v>
      </c>
      <c r="H2257" t="s">
        <v>153</v>
      </c>
      <c r="I2257" t="s">
        <v>157</v>
      </c>
    </row>
    <row r="2258" spans="1:9">
      <c r="A2258" s="49">
        <v>45804</v>
      </c>
      <c r="B2258" s="50">
        <v>0.9390277777777778</v>
      </c>
      <c r="C2258" t="s">
        <v>155</v>
      </c>
      <c r="D2258" t="s">
        <v>158</v>
      </c>
      <c r="E2258" t="s">
        <v>32</v>
      </c>
      <c r="F2258" t="s">
        <v>160</v>
      </c>
      <c r="G2258">
        <v>-20618</v>
      </c>
      <c r="H2258" t="s">
        <v>153</v>
      </c>
      <c r="I2258" t="s">
        <v>64</v>
      </c>
    </row>
    <row r="2259" spans="1:9">
      <c r="A2259" s="49">
        <v>45804</v>
      </c>
      <c r="B2259" s="50">
        <v>0.7671643518518518</v>
      </c>
      <c r="C2259" t="s">
        <v>155</v>
      </c>
      <c r="D2259" t="s">
        <v>155</v>
      </c>
      <c r="E2259" t="s">
        <v>32</v>
      </c>
      <c r="F2259" t="s">
        <v>937</v>
      </c>
      <c r="G2259">
        <v>1390000</v>
      </c>
      <c r="H2259" t="s">
        <v>153</v>
      </c>
      <c r="I2259" t="s">
        <v>64</v>
      </c>
    </row>
    <row r="2260" spans="1:9">
      <c r="A2260" s="49">
        <v>45804</v>
      </c>
      <c r="B2260" s="50">
        <v>0.7305787037037037</v>
      </c>
      <c r="C2260" t="s">
        <v>150</v>
      </c>
      <c r="D2260" t="s">
        <v>35</v>
      </c>
      <c r="E2260" t="s">
        <v>169</v>
      </c>
      <c r="F2260" t="s">
        <v>739</v>
      </c>
      <c r="G2260">
        <v>-1518</v>
      </c>
      <c r="H2260" t="s">
        <v>153</v>
      </c>
      <c r="I2260" t="s">
        <v>164</v>
      </c>
    </row>
    <row r="2261" spans="1:9">
      <c r="A2261" s="49">
        <v>45804</v>
      </c>
      <c r="B2261" s="50">
        <v>0.7305787037037037</v>
      </c>
      <c r="C2261" t="s">
        <v>155</v>
      </c>
      <c r="D2261" t="s">
        <v>158</v>
      </c>
      <c r="E2261" t="s">
        <v>32</v>
      </c>
      <c r="F2261" t="s">
        <v>159</v>
      </c>
      <c r="G2261">
        <v>10000</v>
      </c>
      <c r="H2261" t="s">
        <v>153</v>
      </c>
      <c r="I2261" t="s">
        <v>157</v>
      </c>
    </row>
    <row r="2262" spans="1:9">
      <c r="A2262" s="49">
        <v>45804</v>
      </c>
      <c r="B2262" s="50">
        <v>0.7305787037037037</v>
      </c>
      <c r="C2262" t="s">
        <v>155</v>
      </c>
      <c r="D2262" t="s">
        <v>158</v>
      </c>
      <c r="E2262" t="s">
        <v>32</v>
      </c>
      <c r="F2262" t="s">
        <v>160</v>
      </c>
      <c r="G2262">
        <v>-10000</v>
      </c>
      <c r="H2262" t="s">
        <v>153</v>
      </c>
      <c r="I2262" t="s">
        <v>64</v>
      </c>
    </row>
    <row r="2263" spans="1:9">
      <c r="A2263" s="49">
        <v>45804</v>
      </c>
      <c r="B2263" s="50">
        <v>0.6346643518518519</v>
      </c>
      <c r="C2263" t="s">
        <v>155</v>
      </c>
      <c r="D2263" t="s">
        <v>158</v>
      </c>
      <c r="E2263" t="s">
        <v>32</v>
      </c>
      <c r="F2263" t="s">
        <v>160</v>
      </c>
      <c r="G2263">
        <v>-491000</v>
      </c>
      <c r="H2263" t="s">
        <v>153</v>
      </c>
      <c r="I2263" t="s">
        <v>64</v>
      </c>
    </row>
    <row r="2264" spans="1:9">
      <c r="A2264" s="49">
        <v>45804</v>
      </c>
      <c r="B2264" s="50">
        <v>0.6346643518518519</v>
      </c>
      <c r="C2264" t="s">
        <v>155</v>
      </c>
      <c r="D2264" t="s">
        <v>155</v>
      </c>
      <c r="E2264" t="s">
        <v>32</v>
      </c>
      <c r="F2264" t="s">
        <v>938</v>
      </c>
      <c r="G2264">
        <v>-499000</v>
      </c>
      <c r="H2264" t="s">
        <v>153</v>
      </c>
      <c r="I2264" t="s">
        <v>157</v>
      </c>
    </row>
    <row r="2265" spans="1:9">
      <c r="A2265" s="49">
        <v>45804</v>
      </c>
      <c r="B2265" s="50">
        <v>0.6346527777777777</v>
      </c>
      <c r="C2265" t="s">
        <v>155</v>
      </c>
      <c r="D2265" t="s">
        <v>158</v>
      </c>
      <c r="E2265" t="s">
        <v>32</v>
      </c>
      <c r="F2265" t="s">
        <v>159</v>
      </c>
      <c r="G2265">
        <v>491000</v>
      </c>
      <c r="H2265" t="s">
        <v>153</v>
      </c>
      <c r="I2265" t="s">
        <v>157</v>
      </c>
    </row>
    <row r="2266" spans="1:9">
      <c r="A2266" s="49">
        <v>45804</v>
      </c>
      <c r="B2266" s="50">
        <v>0.5320370370370371</v>
      </c>
      <c r="C2266" t="s">
        <v>155</v>
      </c>
      <c r="D2266" t="s">
        <v>70</v>
      </c>
      <c r="E2266" t="s">
        <v>32</v>
      </c>
      <c r="F2266" t="s">
        <v>539</v>
      </c>
      <c r="G2266">
        <v>17000</v>
      </c>
      <c r="H2266" t="s">
        <v>153</v>
      </c>
      <c r="I2266" t="s">
        <v>64</v>
      </c>
    </row>
    <row r="2267" spans="1:9">
      <c r="A2267" s="49">
        <v>45804</v>
      </c>
      <c r="B2267" s="50">
        <v>0.5305324074074074</v>
      </c>
      <c r="C2267" t="s">
        <v>155</v>
      </c>
      <c r="D2267" t="s">
        <v>155</v>
      </c>
      <c r="E2267" t="s">
        <v>32</v>
      </c>
      <c r="F2267" t="s">
        <v>246</v>
      </c>
      <c r="G2267">
        <v>-17000</v>
      </c>
      <c r="H2267" t="s">
        <v>153</v>
      </c>
      <c r="I2267" t="s">
        <v>64</v>
      </c>
    </row>
    <row r="2268" spans="1:9">
      <c r="A2268" s="49">
        <v>45804</v>
      </c>
      <c r="B2268" s="50">
        <v>0.5290393518518518</v>
      </c>
      <c r="C2268" t="s">
        <v>155</v>
      </c>
      <c r="D2268" t="s">
        <v>158</v>
      </c>
      <c r="E2268" t="s">
        <v>32</v>
      </c>
      <c r="F2268" t="s">
        <v>160</v>
      </c>
      <c r="G2268">
        <v>-10000</v>
      </c>
      <c r="H2268" t="s">
        <v>153</v>
      </c>
      <c r="I2268" t="s">
        <v>64</v>
      </c>
    </row>
    <row r="2269" spans="1:9">
      <c r="A2269" s="49">
        <v>45804</v>
      </c>
      <c r="B2269" s="50">
        <v>0.5290393518518518</v>
      </c>
      <c r="C2269" t="s">
        <v>150</v>
      </c>
      <c r="D2269" t="s">
        <v>48</v>
      </c>
      <c r="E2269" t="s">
        <v>185</v>
      </c>
      <c r="F2269" t="s">
        <v>939</v>
      </c>
      <c r="G2269">
        <v>-2000</v>
      </c>
      <c r="H2269" t="s">
        <v>153</v>
      </c>
      <c r="I2269" t="s">
        <v>164</v>
      </c>
    </row>
    <row r="2270" spans="1:9">
      <c r="A2270" s="49">
        <v>45804</v>
      </c>
      <c r="B2270" s="50">
        <v>0.5290393518518518</v>
      </c>
      <c r="C2270" t="s">
        <v>155</v>
      </c>
      <c r="D2270" t="s">
        <v>158</v>
      </c>
      <c r="E2270" t="s">
        <v>32</v>
      </c>
      <c r="F2270" t="s">
        <v>159</v>
      </c>
      <c r="G2270">
        <v>10000</v>
      </c>
      <c r="H2270" t="s">
        <v>153</v>
      </c>
      <c r="I2270" t="s">
        <v>157</v>
      </c>
    </row>
    <row r="2271" spans="1:9">
      <c r="A2271" s="49">
        <v>45804</v>
      </c>
      <c r="B2271" s="50">
        <v>0.486087962962963</v>
      </c>
      <c r="C2271" t="s">
        <v>150</v>
      </c>
      <c r="D2271" t="s">
        <v>35</v>
      </c>
      <c r="E2271" t="s">
        <v>169</v>
      </c>
      <c r="F2271" t="s">
        <v>170</v>
      </c>
      <c r="G2271">
        <v>-2300</v>
      </c>
      <c r="H2271" t="s">
        <v>153</v>
      </c>
      <c r="I2271" t="s">
        <v>171</v>
      </c>
    </row>
    <row r="2272" spans="1:9">
      <c r="A2272" s="49">
        <v>45804</v>
      </c>
      <c r="B2272" s="50">
        <v>0.486087962962963</v>
      </c>
      <c r="C2272" t="s">
        <v>167</v>
      </c>
      <c r="D2272" t="s">
        <v>31</v>
      </c>
      <c r="E2272" t="s">
        <v>32</v>
      </c>
      <c r="F2272" t="s">
        <v>168</v>
      </c>
      <c r="G2272">
        <v>3000</v>
      </c>
      <c r="H2272" t="s">
        <v>153</v>
      </c>
      <c r="I2272" t="s">
        <v>64</v>
      </c>
    </row>
    <row r="2273" spans="1:9">
      <c r="A2273" s="49">
        <v>45804</v>
      </c>
      <c r="B2273" s="50">
        <v>0.479224537037037</v>
      </c>
      <c r="C2273" t="s">
        <v>150</v>
      </c>
      <c r="D2273" t="s">
        <v>35</v>
      </c>
      <c r="E2273" t="s">
        <v>169</v>
      </c>
      <c r="F2273" t="s">
        <v>170</v>
      </c>
      <c r="G2273">
        <v>3000</v>
      </c>
      <c r="H2273" t="s">
        <v>153</v>
      </c>
      <c r="I2273" t="s">
        <v>171</v>
      </c>
    </row>
    <row r="2274" spans="1:9">
      <c r="A2274" s="49">
        <v>45804</v>
      </c>
      <c r="B2274" s="50">
        <v>0.479224537037037</v>
      </c>
      <c r="C2274" t="s">
        <v>150</v>
      </c>
      <c r="D2274" t="s">
        <v>40</v>
      </c>
      <c r="E2274" t="s">
        <v>172</v>
      </c>
      <c r="F2274" t="s">
        <v>173</v>
      </c>
      <c r="G2274">
        <v>-3000</v>
      </c>
      <c r="H2274" t="s">
        <v>153</v>
      </c>
      <c r="I2274" t="s">
        <v>64</v>
      </c>
    </row>
    <row r="2275" spans="1:9">
      <c r="A2275" s="49">
        <v>45804</v>
      </c>
      <c r="B2275" s="50">
        <v>0.4373842592592593</v>
      </c>
      <c r="C2275" t="s">
        <v>155</v>
      </c>
      <c r="D2275" t="s">
        <v>229</v>
      </c>
      <c r="E2275" t="s">
        <v>32</v>
      </c>
      <c r="F2275" t="s">
        <v>940</v>
      </c>
      <c r="G2275">
        <v>499000</v>
      </c>
      <c r="H2275" t="s">
        <v>153</v>
      </c>
      <c r="I2275" t="s">
        <v>64</v>
      </c>
    </row>
    <row r="2276" spans="1:9">
      <c r="A2276" s="49">
        <v>45804</v>
      </c>
      <c r="B2276" s="50">
        <v>0.3810069444444444</v>
      </c>
      <c r="C2276" t="s">
        <v>155</v>
      </c>
      <c r="D2276" t="s">
        <v>158</v>
      </c>
      <c r="E2276" t="s">
        <v>32</v>
      </c>
      <c r="F2276" t="s">
        <v>160</v>
      </c>
      <c r="G2276">
        <v>-19459</v>
      </c>
      <c r="H2276" t="s">
        <v>153</v>
      </c>
      <c r="I2276" t="s">
        <v>64</v>
      </c>
    </row>
    <row r="2277" spans="1:9">
      <c r="A2277" s="49">
        <v>45804</v>
      </c>
      <c r="B2277" s="50">
        <v>0.3810069444444444</v>
      </c>
      <c r="C2277" t="s">
        <v>150</v>
      </c>
      <c r="D2277" t="s">
        <v>44</v>
      </c>
      <c r="E2277" t="s">
        <v>315</v>
      </c>
      <c r="F2277" t="s">
        <v>316</v>
      </c>
      <c r="G2277">
        <v>-29000</v>
      </c>
      <c r="H2277" t="s">
        <v>153</v>
      </c>
      <c r="I2277" t="s">
        <v>164</v>
      </c>
    </row>
    <row r="2278" spans="1:9">
      <c r="A2278" s="49">
        <v>45804</v>
      </c>
      <c r="B2278" s="50">
        <v>0.3810069444444444</v>
      </c>
      <c r="C2278" t="s">
        <v>155</v>
      </c>
      <c r="D2278" t="s">
        <v>158</v>
      </c>
      <c r="E2278" t="s">
        <v>32</v>
      </c>
      <c r="F2278" t="s">
        <v>159</v>
      </c>
      <c r="G2278">
        <v>19459</v>
      </c>
      <c r="H2278" t="s">
        <v>153</v>
      </c>
      <c r="I2278" t="s">
        <v>157</v>
      </c>
    </row>
    <row r="2279" spans="1:9">
      <c r="A2279" s="49">
        <v>45804</v>
      </c>
      <c r="B2279" s="50">
        <v>0.3347453703703704</v>
      </c>
      <c r="C2279" t="s">
        <v>155</v>
      </c>
      <c r="D2279" t="s">
        <v>241</v>
      </c>
      <c r="E2279" t="s">
        <v>32</v>
      </c>
      <c r="F2279" t="s">
        <v>688</v>
      </c>
      <c r="G2279">
        <v>4950000</v>
      </c>
      <c r="H2279" t="s">
        <v>153</v>
      </c>
      <c r="I2279" t="s">
        <v>64</v>
      </c>
    </row>
    <row r="2280" spans="1:9">
      <c r="A2280" s="49">
        <v>45803</v>
      </c>
      <c r="B2280" s="50">
        <v>0.9738078703703704</v>
      </c>
      <c r="C2280" t="s">
        <v>155</v>
      </c>
      <c r="D2280" t="s">
        <v>155</v>
      </c>
      <c r="E2280" t="s">
        <v>32</v>
      </c>
      <c r="F2280" t="s">
        <v>941</v>
      </c>
      <c r="G2280">
        <v>499000</v>
      </c>
      <c r="H2280" t="s">
        <v>153</v>
      </c>
      <c r="I2280" t="s">
        <v>64</v>
      </c>
    </row>
    <row r="2281" spans="1:9">
      <c r="A2281" s="49">
        <v>45803</v>
      </c>
      <c r="B2281" s="50">
        <v>0.8668634259259259</v>
      </c>
      <c r="C2281" t="s">
        <v>155</v>
      </c>
      <c r="D2281" t="s">
        <v>155</v>
      </c>
      <c r="E2281" t="s">
        <v>32</v>
      </c>
      <c r="F2281" t="s">
        <v>942</v>
      </c>
      <c r="G2281">
        <v>499000</v>
      </c>
      <c r="H2281" t="s">
        <v>153</v>
      </c>
      <c r="I2281" t="s">
        <v>64</v>
      </c>
    </row>
    <row r="2282" spans="1:9">
      <c r="A2282" s="49">
        <v>45803</v>
      </c>
      <c r="B2282" s="50">
        <v>0.8275462962962963</v>
      </c>
      <c r="C2282" t="s">
        <v>155</v>
      </c>
      <c r="D2282" t="s">
        <v>158</v>
      </c>
      <c r="E2282" t="s">
        <v>32</v>
      </c>
      <c r="F2282" t="s">
        <v>160</v>
      </c>
      <c r="G2282">
        <v>-10000</v>
      </c>
      <c r="H2282" t="s">
        <v>153</v>
      </c>
      <c r="I2282" t="s">
        <v>64</v>
      </c>
    </row>
    <row r="2283" spans="1:9">
      <c r="A2283" s="49">
        <v>45803</v>
      </c>
      <c r="B2283" s="50">
        <v>0.8275462962962963</v>
      </c>
      <c r="C2283" t="s">
        <v>150</v>
      </c>
      <c r="D2283" t="s">
        <v>35</v>
      </c>
      <c r="E2283" t="s">
        <v>169</v>
      </c>
      <c r="F2283" t="s">
        <v>739</v>
      </c>
      <c r="G2283">
        <v>-459</v>
      </c>
      <c r="H2283" t="s">
        <v>153</v>
      </c>
      <c r="I2283" t="s">
        <v>164</v>
      </c>
    </row>
    <row r="2284" spans="1:9">
      <c r="A2284" s="49">
        <v>45803</v>
      </c>
      <c r="B2284" s="50">
        <v>0.8275462962962963</v>
      </c>
      <c r="C2284" t="s">
        <v>155</v>
      </c>
      <c r="D2284" t="s">
        <v>158</v>
      </c>
      <c r="E2284" t="s">
        <v>32</v>
      </c>
      <c r="F2284" t="s">
        <v>159</v>
      </c>
      <c r="G2284">
        <v>10000</v>
      </c>
      <c r="H2284" t="s">
        <v>153</v>
      </c>
      <c r="I2284" t="s">
        <v>157</v>
      </c>
    </row>
    <row r="2285" spans="1:9">
      <c r="A2285" s="49">
        <v>45803</v>
      </c>
      <c r="B2285" s="50">
        <v>0.8052662037037037</v>
      </c>
      <c r="C2285" t="s">
        <v>150</v>
      </c>
      <c r="D2285" t="s">
        <v>40</v>
      </c>
      <c r="E2285" t="s">
        <v>427</v>
      </c>
      <c r="F2285" t="s">
        <v>943</v>
      </c>
      <c r="G2285">
        <v>-31000</v>
      </c>
      <c r="H2285" t="s">
        <v>153</v>
      </c>
      <c r="I2285" t="s">
        <v>214</v>
      </c>
    </row>
    <row r="2286" spans="1:9">
      <c r="A2286" s="49">
        <v>45803</v>
      </c>
      <c r="B2286" s="50">
        <v>0.7853935185185185</v>
      </c>
      <c r="C2286" t="s">
        <v>155</v>
      </c>
      <c r="D2286" t="s">
        <v>158</v>
      </c>
      <c r="E2286" t="s">
        <v>32</v>
      </c>
      <c r="F2286" t="s">
        <v>160</v>
      </c>
      <c r="G2286">
        <v>-206334</v>
      </c>
      <c r="H2286" t="s">
        <v>153</v>
      </c>
      <c r="I2286" t="s">
        <v>64</v>
      </c>
    </row>
    <row r="2287" spans="1:9">
      <c r="A2287" s="49">
        <v>45803</v>
      </c>
      <c r="B2287" s="50">
        <v>0.7853935185185185</v>
      </c>
      <c r="C2287" t="s">
        <v>155</v>
      </c>
      <c r="D2287" t="s">
        <v>155</v>
      </c>
      <c r="E2287" t="s">
        <v>32</v>
      </c>
      <c r="F2287" t="s">
        <v>944</v>
      </c>
      <c r="G2287">
        <v>-210000</v>
      </c>
      <c r="H2287" t="s">
        <v>153</v>
      </c>
      <c r="I2287" t="s">
        <v>157</v>
      </c>
    </row>
    <row r="2288" spans="1:9">
      <c r="A2288" s="49">
        <v>45803</v>
      </c>
      <c r="B2288" s="50">
        <v>0.7853819444444444</v>
      </c>
      <c r="C2288" t="s">
        <v>155</v>
      </c>
      <c r="D2288" t="s">
        <v>158</v>
      </c>
      <c r="E2288" t="s">
        <v>32</v>
      </c>
      <c r="F2288" t="s">
        <v>159</v>
      </c>
      <c r="G2288">
        <v>206334</v>
      </c>
      <c r="H2288" t="s">
        <v>153</v>
      </c>
      <c r="I2288" t="s">
        <v>157</v>
      </c>
    </row>
    <row r="2289" spans="1:9">
      <c r="A2289" s="49">
        <v>45803</v>
      </c>
      <c r="B2289" s="50">
        <v>0.7335995370370371</v>
      </c>
      <c r="C2289" t="s">
        <v>150</v>
      </c>
      <c r="D2289" t="s">
        <v>36</v>
      </c>
      <c r="E2289" t="s">
        <v>191</v>
      </c>
      <c r="F2289" t="s">
        <v>192</v>
      </c>
      <c r="G2289">
        <v>-180000</v>
      </c>
      <c r="H2289" t="s">
        <v>153</v>
      </c>
      <c r="I2289" t="s">
        <v>157</v>
      </c>
    </row>
    <row r="2290" spans="1:9">
      <c r="A2290" s="49">
        <v>45803</v>
      </c>
      <c r="B2290" s="50">
        <v>0.7335879629629629</v>
      </c>
      <c r="C2290" t="s">
        <v>155</v>
      </c>
      <c r="D2290" t="s">
        <v>158</v>
      </c>
      <c r="E2290" t="s">
        <v>32</v>
      </c>
      <c r="F2290" t="s">
        <v>160</v>
      </c>
      <c r="G2290">
        <v>-10000</v>
      </c>
      <c r="H2290" t="s">
        <v>153</v>
      </c>
      <c r="I2290" t="s">
        <v>64</v>
      </c>
    </row>
    <row r="2291" spans="1:9">
      <c r="A2291" s="49">
        <v>45803</v>
      </c>
      <c r="B2291" s="50">
        <v>0.7335879629629629</v>
      </c>
      <c r="C2291" t="s">
        <v>155</v>
      </c>
      <c r="D2291" t="s">
        <v>158</v>
      </c>
      <c r="E2291" t="s">
        <v>32</v>
      </c>
      <c r="F2291" t="s">
        <v>159</v>
      </c>
      <c r="G2291">
        <v>10000</v>
      </c>
      <c r="H2291" t="s">
        <v>153</v>
      </c>
      <c r="I2291" t="s">
        <v>157</v>
      </c>
    </row>
    <row r="2292" spans="1:9">
      <c r="A2292" s="49">
        <v>45803</v>
      </c>
      <c r="B2292" s="50">
        <v>0.682962962962963</v>
      </c>
      <c r="C2292" t="s">
        <v>155</v>
      </c>
      <c r="D2292" t="s">
        <v>155</v>
      </c>
      <c r="E2292" t="s">
        <v>32</v>
      </c>
      <c r="F2292" t="s">
        <v>246</v>
      </c>
      <c r="G2292">
        <v>-22500</v>
      </c>
      <c r="H2292" t="s">
        <v>153</v>
      </c>
      <c r="I2292" t="s">
        <v>64</v>
      </c>
    </row>
    <row r="2293" spans="1:9">
      <c r="A2293" s="49">
        <v>45803</v>
      </c>
      <c r="B2293" s="50">
        <v>0.6326736111111111</v>
      </c>
      <c r="C2293" t="s">
        <v>150</v>
      </c>
      <c r="D2293" t="s">
        <v>35</v>
      </c>
      <c r="E2293" t="s">
        <v>169</v>
      </c>
      <c r="F2293" t="s">
        <v>739</v>
      </c>
      <c r="G2293">
        <v>-1569</v>
      </c>
      <c r="H2293" t="s">
        <v>153</v>
      </c>
      <c r="I2293" t="s">
        <v>164</v>
      </c>
    </row>
    <row r="2294" spans="1:9">
      <c r="A2294" s="49">
        <v>45803</v>
      </c>
      <c r="B2294" s="50">
        <v>0.4875231481481481</v>
      </c>
      <c r="C2294" t="s">
        <v>155</v>
      </c>
      <c r="D2294" t="s">
        <v>241</v>
      </c>
      <c r="E2294" t="s">
        <v>32</v>
      </c>
      <c r="F2294" t="s">
        <v>945</v>
      </c>
      <c r="G2294">
        <v>499000</v>
      </c>
      <c r="H2294" t="s">
        <v>153</v>
      </c>
      <c r="I2294" t="s">
        <v>64</v>
      </c>
    </row>
    <row r="2295" spans="1:9">
      <c r="A2295" s="49">
        <v>45803</v>
      </c>
      <c r="B2295" s="50">
        <v>0.3008333333333333</v>
      </c>
      <c r="C2295" t="s">
        <v>155</v>
      </c>
      <c r="D2295" t="s">
        <v>155</v>
      </c>
      <c r="E2295" t="s">
        <v>32</v>
      </c>
      <c r="F2295" t="s">
        <v>946</v>
      </c>
      <c r="G2295">
        <v>499000</v>
      </c>
      <c r="H2295" t="s">
        <v>153</v>
      </c>
      <c r="I2295" t="s">
        <v>64</v>
      </c>
    </row>
    <row r="2296" spans="1:9">
      <c r="A2296" s="49">
        <v>45803</v>
      </c>
      <c r="B2296" s="50">
        <v>0.05125</v>
      </c>
      <c r="C2296" t="s">
        <v>150</v>
      </c>
      <c r="D2296" t="s">
        <v>35</v>
      </c>
      <c r="E2296" t="s">
        <v>174</v>
      </c>
      <c r="F2296" t="s">
        <v>314</v>
      </c>
      <c r="G2296">
        <v>-30000</v>
      </c>
      <c r="H2296" t="s">
        <v>153</v>
      </c>
      <c r="I2296" t="s">
        <v>64</v>
      </c>
    </row>
    <row r="2297" spans="1:9">
      <c r="A2297" s="49">
        <v>45802</v>
      </c>
      <c r="B2297" s="50">
        <v>0.8989236111111111</v>
      </c>
      <c r="C2297" t="s">
        <v>150</v>
      </c>
      <c r="D2297" t="s">
        <v>40</v>
      </c>
      <c r="E2297" t="s">
        <v>172</v>
      </c>
      <c r="F2297" t="s">
        <v>405</v>
      </c>
      <c r="G2297">
        <v>-4000</v>
      </c>
      <c r="H2297" t="s">
        <v>153</v>
      </c>
      <c r="I2297" t="s">
        <v>214</v>
      </c>
    </row>
    <row r="2298" spans="1:9">
      <c r="A2298" s="49">
        <v>45802</v>
      </c>
      <c r="B2298" s="50">
        <v>0.7232986111111112</v>
      </c>
      <c r="C2298" t="s">
        <v>150</v>
      </c>
      <c r="D2298" t="s">
        <v>35</v>
      </c>
      <c r="E2298" t="s">
        <v>169</v>
      </c>
      <c r="F2298" t="s">
        <v>170</v>
      </c>
      <c r="G2298">
        <v>-1840</v>
      </c>
      <c r="H2298" t="s">
        <v>153</v>
      </c>
      <c r="I2298" t="s">
        <v>171</v>
      </c>
    </row>
    <row r="2299" spans="1:9">
      <c r="A2299" s="49">
        <v>45802</v>
      </c>
      <c r="B2299" s="50">
        <v>0.7232986111111112</v>
      </c>
      <c r="C2299" t="s">
        <v>167</v>
      </c>
      <c r="D2299" t="s">
        <v>31</v>
      </c>
      <c r="E2299" t="s">
        <v>32</v>
      </c>
      <c r="F2299" t="s">
        <v>168</v>
      </c>
      <c r="G2299">
        <v>3000</v>
      </c>
      <c r="H2299" t="s">
        <v>153</v>
      </c>
      <c r="I2299" t="s">
        <v>64</v>
      </c>
    </row>
    <row r="2300" spans="1:9">
      <c r="A2300" s="49">
        <v>45802</v>
      </c>
      <c r="B2300" s="50">
        <v>0.7178819444444444</v>
      </c>
      <c r="C2300" t="s">
        <v>150</v>
      </c>
      <c r="D2300" t="s">
        <v>35</v>
      </c>
      <c r="E2300" t="s">
        <v>169</v>
      </c>
      <c r="F2300" t="s">
        <v>170</v>
      </c>
      <c r="G2300">
        <v>3000</v>
      </c>
      <c r="H2300" t="s">
        <v>153</v>
      </c>
      <c r="I2300" t="s">
        <v>171</v>
      </c>
    </row>
    <row r="2301" spans="1:9">
      <c r="A2301" s="49">
        <v>45802</v>
      </c>
      <c r="B2301" s="50">
        <v>0.7178819444444444</v>
      </c>
      <c r="C2301" t="s">
        <v>150</v>
      </c>
      <c r="D2301" t="s">
        <v>40</v>
      </c>
      <c r="E2301" t="s">
        <v>172</v>
      </c>
      <c r="F2301" t="s">
        <v>173</v>
      </c>
      <c r="G2301">
        <v>-3000</v>
      </c>
      <c r="H2301" t="s">
        <v>153</v>
      </c>
      <c r="I2301" t="s">
        <v>64</v>
      </c>
    </row>
    <row r="2302" spans="1:9">
      <c r="A2302" s="49">
        <v>45802</v>
      </c>
      <c r="B2302" s="50">
        <v>0.6525</v>
      </c>
      <c r="C2302" t="s">
        <v>155</v>
      </c>
      <c r="D2302" t="s">
        <v>155</v>
      </c>
      <c r="E2302" t="s">
        <v>32</v>
      </c>
      <c r="F2302" t="s">
        <v>947</v>
      </c>
      <c r="G2302">
        <v>300000</v>
      </c>
      <c r="H2302" t="s">
        <v>153</v>
      </c>
      <c r="I2302" t="s">
        <v>64</v>
      </c>
    </row>
    <row r="2303" spans="1:9">
      <c r="A2303" s="49">
        <v>45802</v>
      </c>
      <c r="B2303" s="50">
        <v>0.5679513888888889</v>
      </c>
      <c r="C2303" t="s">
        <v>155</v>
      </c>
      <c r="D2303" t="s">
        <v>155</v>
      </c>
      <c r="E2303" t="s">
        <v>32</v>
      </c>
      <c r="F2303" t="s">
        <v>713</v>
      </c>
      <c r="G2303">
        <v>499000</v>
      </c>
      <c r="H2303" t="s">
        <v>153</v>
      </c>
      <c r="I2303" t="s">
        <v>64</v>
      </c>
    </row>
    <row r="2304" spans="1:9">
      <c r="A2304" s="49">
        <v>45801</v>
      </c>
      <c r="B2304" s="50">
        <v>0.9885300925925926</v>
      </c>
      <c r="C2304" t="s">
        <v>150</v>
      </c>
      <c r="D2304" t="s">
        <v>35</v>
      </c>
      <c r="E2304" t="s">
        <v>169</v>
      </c>
      <c r="F2304" t="s">
        <v>170</v>
      </c>
      <c r="G2304">
        <v>-1620</v>
      </c>
      <c r="H2304" t="s">
        <v>153</v>
      </c>
      <c r="I2304" t="s">
        <v>171</v>
      </c>
    </row>
    <row r="2305" spans="1:9">
      <c r="A2305" s="49">
        <v>45801</v>
      </c>
      <c r="B2305" s="50">
        <v>0.949849537037037</v>
      </c>
      <c r="C2305" t="s">
        <v>150</v>
      </c>
      <c r="D2305" t="s">
        <v>35</v>
      </c>
      <c r="E2305" t="s">
        <v>174</v>
      </c>
      <c r="F2305" t="s">
        <v>314</v>
      </c>
      <c r="G2305">
        <v>-10000</v>
      </c>
      <c r="H2305" t="s">
        <v>153</v>
      </c>
      <c r="I2305" t="s">
        <v>64</v>
      </c>
    </row>
    <row r="2306" spans="1:9">
      <c r="A2306" s="49">
        <v>45801</v>
      </c>
      <c r="B2306" s="50">
        <v>0.8865162037037037</v>
      </c>
      <c r="C2306" t="s">
        <v>150</v>
      </c>
      <c r="D2306" t="s">
        <v>41</v>
      </c>
      <c r="E2306" t="s">
        <v>948</v>
      </c>
      <c r="F2306" t="s">
        <v>949</v>
      </c>
      <c r="G2306">
        <v>-91000</v>
      </c>
      <c r="H2306" t="s">
        <v>153</v>
      </c>
      <c r="I2306" t="s">
        <v>214</v>
      </c>
    </row>
    <row r="2307" spans="1:9">
      <c r="A2307" s="49">
        <v>45801</v>
      </c>
      <c r="B2307" s="50">
        <v>0.8431828703703703</v>
      </c>
      <c r="C2307" t="s">
        <v>150</v>
      </c>
      <c r="D2307" t="s">
        <v>48</v>
      </c>
      <c r="E2307" t="s">
        <v>185</v>
      </c>
      <c r="F2307" t="s">
        <v>715</v>
      </c>
      <c r="G2307">
        <v>40000</v>
      </c>
      <c r="H2307" t="s">
        <v>153</v>
      </c>
      <c r="I2307" t="s">
        <v>164</v>
      </c>
    </row>
    <row r="2308" spans="1:9">
      <c r="A2308" s="49">
        <v>45801</v>
      </c>
      <c r="B2308" s="50">
        <v>0.8305208333333334</v>
      </c>
      <c r="C2308" t="s">
        <v>155</v>
      </c>
      <c r="D2308" t="s">
        <v>229</v>
      </c>
      <c r="E2308" t="s">
        <v>32</v>
      </c>
      <c r="F2308" t="s">
        <v>950</v>
      </c>
      <c r="G2308">
        <v>499000</v>
      </c>
      <c r="H2308" t="s">
        <v>153</v>
      </c>
      <c r="I2308" t="s">
        <v>64</v>
      </c>
    </row>
    <row r="2309" spans="1:9">
      <c r="A2309" s="49">
        <v>45801</v>
      </c>
      <c r="B2309" s="50">
        <v>0.7411226851851852</v>
      </c>
      <c r="C2309" t="s">
        <v>150</v>
      </c>
      <c r="D2309" t="s">
        <v>35</v>
      </c>
      <c r="E2309" t="s">
        <v>174</v>
      </c>
      <c r="F2309" t="s">
        <v>314</v>
      </c>
      <c r="G2309">
        <v>-10000</v>
      </c>
      <c r="H2309" t="s">
        <v>153</v>
      </c>
      <c r="I2309" t="s">
        <v>64</v>
      </c>
    </row>
    <row r="2310" spans="1:9">
      <c r="A2310" s="49">
        <v>45801</v>
      </c>
      <c r="B2310" s="50">
        <v>0.7168287037037037</v>
      </c>
      <c r="C2310" t="s">
        <v>150</v>
      </c>
      <c r="D2310" t="s">
        <v>35</v>
      </c>
      <c r="E2310" t="s">
        <v>169</v>
      </c>
      <c r="F2310" t="s">
        <v>739</v>
      </c>
      <c r="G2310">
        <v>-1408</v>
      </c>
      <c r="H2310" t="s">
        <v>153</v>
      </c>
      <c r="I2310" t="s">
        <v>164</v>
      </c>
    </row>
    <row r="2311" spans="1:9">
      <c r="A2311" s="49">
        <v>45801</v>
      </c>
      <c r="B2311" s="50">
        <v>0.5955787037037037</v>
      </c>
      <c r="C2311" t="s">
        <v>155</v>
      </c>
      <c r="D2311" t="s">
        <v>155</v>
      </c>
      <c r="E2311" t="s">
        <v>32</v>
      </c>
      <c r="F2311" t="s">
        <v>951</v>
      </c>
      <c r="G2311">
        <v>499000</v>
      </c>
      <c r="H2311" t="s">
        <v>153</v>
      </c>
      <c r="I2311" t="s">
        <v>64</v>
      </c>
    </row>
    <row r="2312" spans="1:9">
      <c r="A2312" s="49">
        <v>45801</v>
      </c>
      <c r="B2312" s="50">
        <v>0.5694560185185186</v>
      </c>
      <c r="C2312" t="s">
        <v>155</v>
      </c>
      <c r="D2312" t="s">
        <v>155</v>
      </c>
      <c r="E2312" t="s">
        <v>32</v>
      </c>
      <c r="F2312" t="s">
        <v>952</v>
      </c>
      <c r="G2312">
        <v>499000</v>
      </c>
      <c r="H2312" t="s">
        <v>153</v>
      </c>
      <c r="I2312" t="s">
        <v>64</v>
      </c>
    </row>
    <row r="2313" spans="1:9">
      <c r="A2313" s="49">
        <v>45801</v>
      </c>
      <c r="B2313" s="50">
        <v>0.5491087962962963</v>
      </c>
      <c r="C2313" t="s">
        <v>155</v>
      </c>
      <c r="D2313" t="s">
        <v>155</v>
      </c>
      <c r="E2313" t="s">
        <v>32</v>
      </c>
      <c r="F2313" t="s">
        <v>953</v>
      </c>
      <c r="G2313">
        <v>499000</v>
      </c>
      <c r="H2313" t="s">
        <v>153</v>
      </c>
      <c r="I2313" t="s">
        <v>64</v>
      </c>
    </row>
    <row r="2314" spans="1:9">
      <c r="A2314" s="49">
        <v>45801</v>
      </c>
      <c r="B2314" s="50">
        <v>0.1927199074074074</v>
      </c>
      <c r="C2314" t="s">
        <v>167</v>
      </c>
      <c r="D2314" t="s">
        <v>28</v>
      </c>
      <c r="E2314" t="s">
        <v>32</v>
      </c>
      <c r="F2314" t="s">
        <v>278</v>
      </c>
      <c r="G2314">
        <v>797</v>
      </c>
      <c r="H2314" t="s">
        <v>153</v>
      </c>
      <c r="I2314" t="s">
        <v>64</v>
      </c>
    </row>
    <row r="2315" spans="1:9">
      <c r="A2315" s="49">
        <v>45801</v>
      </c>
      <c r="B2315" s="50">
        <v>0.1061111111111111</v>
      </c>
      <c r="C2315" t="s">
        <v>155</v>
      </c>
      <c r="D2315" t="s">
        <v>241</v>
      </c>
      <c r="E2315" t="s">
        <v>32</v>
      </c>
      <c r="F2315" t="s">
        <v>279</v>
      </c>
      <c r="G2315">
        <v>0</v>
      </c>
      <c r="H2315" t="s">
        <v>153</v>
      </c>
      <c r="I2315" t="s">
        <v>62</v>
      </c>
    </row>
    <row r="2316" spans="1:9">
      <c r="A2316" s="49">
        <v>45800</v>
      </c>
      <c r="B2316" s="50">
        <v>0.8835648148148149</v>
      </c>
      <c r="C2316" t="s">
        <v>150</v>
      </c>
      <c r="D2316" t="s">
        <v>48</v>
      </c>
      <c r="E2316" t="s">
        <v>185</v>
      </c>
      <c r="F2316" t="s">
        <v>715</v>
      </c>
      <c r="G2316">
        <v>-40000</v>
      </c>
      <c r="H2316" t="s">
        <v>153</v>
      </c>
      <c r="I2316" t="s">
        <v>164</v>
      </c>
    </row>
    <row r="2317" spans="1:9">
      <c r="A2317" s="49">
        <v>45800</v>
      </c>
      <c r="B2317" s="50">
        <v>0.8751736111111111</v>
      </c>
      <c r="C2317" t="s">
        <v>150</v>
      </c>
      <c r="D2317" t="s">
        <v>48</v>
      </c>
      <c r="E2317" t="s">
        <v>185</v>
      </c>
      <c r="F2317" t="s">
        <v>954</v>
      </c>
      <c r="G2317">
        <v>-5000</v>
      </c>
      <c r="H2317" t="s">
        <v>153</v>
      </c>
      <c r="I2317" t="s">
        <v>214</v>
      </c>
    </row>
    <row r="2318" spans="1:9">
      <c r="A2318" s="49">
        <v>45800</v>
      </c>
      <c r="B2318" s="50">
        <v>0.8437731481481482</v>
      </c>
      <c r="C2318" t="s">
        <v>155</v>
      </c>
      <c r="D2318" t="s">
        <v>155</v>
      </c>
      <c r="E2318" t="s">
        <v>32</v>
      </c>
      <c r="F2318" t="s">
        <v>955</v>
      </c>
      <c r="G2318">
        <v>499000</v>
      </c>
      <c r="H2318" t="s">
        <v>153</v>
      </c>
      <c r="I2318" t="s">
        <v>64</v>
      </c>
    </row>
    <row r="2319" spans="1:9">
      <c r="A2319" s="49">
        <v>45800</v>
      </c>
      <c r="B2319" s="50">
        <v>0.7938425925925926</v>
      </c>
      <c r="C2319" t="s">
        <v>167</v>
      </c>
      <c r="D2319" t="s">
        <v>29</v>
      </c>
      <c r="E2319" t="s">
        <v>32</v>
      </c>
      <c r="F2319" t="s">
        <v>302</v>
      </c>
      <c r="G2319">
        <v>50000</v>
      </c>
      <c r="H2319" t="s">
        <v>153</v>
      </c>
      <c r="I2319" t="s">
        <v>64</v>
      </c>
    </row>
    <row r="2320" spans="1:9">
      <c r="A2320" s="49">
        <v>45800</v>
      </c>
      <c r="B2320" s="50">
        <v>0.588599537037037</v>
      </c>
      <c r="C2320" t="s">
        <v>155</v>
      </c>
      <c r="D2320" t="s">
        <v>155</v>
      </c>
      <c r="E2320" t="s">
        <v>32</v>
      </c>
      <c r="F2320" t="s">
        <v>956</v>
      </c>
      <c r="G2320">
        <v>499000</v>
      </c>
      <c r="H2320" t="s">
        <v>153</v>
      </c>
      <c r="I2320" t="s">
        <v>64</v>
      </c>
    </row>
    <row r="2321" spans="1:9">
      <c r="A2321" s="49">
        <v>45800</v>
      </c>
      <c r="B2321" s="50">
        <v>0.5342013888888889</v>
      </c>
      <c r="C2321" t="s">
        <v>155</v>
      </c>
      <c r="D2321" t="s">
        <v>241</v>
      </c>
      <c r="E2321" t="s">
        <v>32</v>
      </c>
      <c r="F2321" t="s">
        <v>957</v>
      </c>
      <c r="G2321">
        <v>300000</v>
      </c>
      <c r="H2321" t="s">
        <v>153</v>
      </c>
      <c r="I2321" t="s">
        <v>64</v>
      </c>
    </row>
    <row r="2322" spans="1:9">
      <c r="A2322" s="49">
        <v>45800</v>
      </c>
      <c r="B2322" s="50">
        <v>0.4863310185185185</v>
      </c>
      <c r="C2322" t="s">
        <v>150</v>
      </c>
      <c r="D2322" t="s">
        <v>42</v>
      </c>
      <c r="E2322" t="s">
        <v>151</v>
      </c>
      <c r="F2322" t="s">
        <v>152</v>
      </c>
      <c r="G2322">
        <v>-11900</v>
      </c>
      <c r="H2322" t="s">
        <v>153</v>
      </c>
      <c r="I2322" t="s">
        <v>64</v>
      </c>
    </row>
    <row r="2323" spans="1:9">
      <c r="A2323" s="49">
        <v>45800</v>
      </c>
      <c r="B2323" s="50">
        <v>0.4512152777777778</v>
      </c>
      <c r="C2323" t="s">
        <v>155</v>
      </c>
      <c r="D2323" t="s">
        <v>155</v>
      </c>
      <c r="E2323" t="s">
        <v>32</v>
      </c>
      <c r="F2323" t="s">
        <v>958</v>
      </c>
      <c r="G2323">
        <v>499000</v>
      </c>
      <c r="H2323" t="s">
        <v>153</v>
      </c>
      <c r="I2323" t="s">
        <v>64</v>
      </c>
    </row>
    <row r="2324" spans="1:9">
      <c r="A2324" s="49">
        <v>45799</v>
      </c>
      <c r="B2324" s="50">
        <v>0.9539004629629629</v>
      </c>
      <c r="C2324" t="s">
        <v>155</v>
      </c>
      <c r="D2324" t="s">
        <v>155</v>
      </c>
      <c r="E2324" t="s">
        <v>32</v>
      </c>
      <c r="F2324" t="s">
        <v>959</v>
      </c>
      <c r="G2324">
        <v>499000</v>
      </c>
      <c r="H2324" t="s">
        <v>153</v>
      </c>
      <c r="I2324" t="s">
        <v>64</v>
      </c>
    </row>
    <row r="2325" spans="1:9">
      <c r="A2325" s="49">
        <v>45799</v>
      </c>
      <c r="B2325" s="50">
        <v>0.950474537037037</v>
      </c>
      <c r="C2325" t="s">
        <v>155</v>
      </c>
      <c r="D2325" t="s">
        <v>155</v>
      </c>
      <c r="E2325" t="s">
        <v>32</v>
      </c>
      <c r="F2325" t="s">
        <v>960</v>
      </c>
      <c r="G2325">
        <v>499000</v>
      </c>
      <c r="H2325" t="s">
        <v>153</v>
      </c>
      <c r="I2325" t="s">
        <v>64</v>
      </c>
    </row>
    <row r="2326" spans="1:9">
      <c r="A2326" s="49">
        <v>45799</v>
      </c>
      <c r="B2326" s="50">
        <v>0.9362037037037036</v>
      </c>
      <c r="C2326" t="s">
        <v>155</v>
      </c>
      <c r="D2326" t="s">
        <v>155</v>
      </c>
      <c r="E2326" t="s">
        <v>32</v>
      </c>
      <c r="F2326" t="s">
        <v>961</v>
      </c>
      <c r="G2326">
        <v>499000</v>
      </c>
      <c r="H2326" t="s">
        <v>153</v>
      </c>
      <c r="I2326" t="s">
        <v>64</v>
      </c>
    </row>
    <row r="2327" spans="1:9">
      <c r="A2327" s="49">
        <v>45799</v>
      </c>
      <c r="B2327" s="50">
        <v>0.90625</v>
      </c>
      <c r="C2327" t="s">
        <v>167</v>
      </c>
      <c r="D2327" t="s">
        <v>31</v>
      </c>
      <c r="E2327" t="s">
        <v>32</v>
      </c>
      <c r="F2327" t="s">
        <v>168</v>
      </c>
      <c r="G2327">
        <v>3000</v>
      </c>
      <c r="H2327" t="s">
        <v>153</v>
      </c>
      <c r="I2327" t="s">
        <v>64</v>
      </c>
    </row>
    <row r="2328" spans="1:9">
      <c r="A2328" s="49">
        <v>45799</v>
      </c>
      <c r="B2328" s="50">
        <v>0.906238425925926</v>
      </c>
      <c r="C2328" t="s">
        <v>150</v>
      </c>
      <c r="D2328" t="s">
        <v>35</v>
      </c>
      <c r="E2328" t="s">
        <v>169</v>
      </c>
      <c r="F2328" t="s">
        <v>170</v>
      </c>
      <c r="G2328">
        <v>-2430</v>
      </c>
      <c r="H2328" t="s">
        <v>153</v>
      </c>
      <c r="I2328" t="s">
        <v>171</v>
      </c>
    </row>
    <row r="2329" spans="1:9">
      <c r="A2329" s="49">
        <v>45799</v>
      </c>
      <c r="B2329" s="50">
        <v>0.9000115740740741</v>
      </c>
      <c r="C2329" t="s">
        <v>150</v>
      </c>
      <c r="D2329" t="s">
        <v>35</v>
      </c>
      <c r="E2329" t="s">
        <v>169</v>
      </c>
      <c r="F2329" t="s">
        <v>170</v>
      </c>
      <c r="G2329">
        <v>3000</v>
      </c>
      <c r="H2329" t="s">
        <v>153</v>
      </c>
      <c r="I2329" t="s">
        <v>171</v>
      </c>
    </row>
    <row r="2330" spans="1:9">
      <c r="A2330" s="49">
        <v>45799</v>
      </c>
      <c r="B2330" s="50">
        <v>0.9</v>
      </c>
      <c r="C2330" t="s">
        <v>150</v>
      </c>
      <c r="D2330" t="s">
        <v>40</v>
      </c>
      <c r="E2330" t="s">
        <v>172</v>
      </c>
      <c r="F2330" t="s">
        <v>173</v>
      </c>
      <c r="G2330">
        <v>-3000</v>
      </c>
      <c r="H2330" t="s">
        <v>153</v>
      </c>
      <c r="I2330" t="s">
        <v>64</v>
      </c>
    </row>
    <row r="2331" spans="1:9">
      <c r="A2331" s="49">
        <v>45799</v>
      </c>
      <c r="B2331" s="50">
        <v>0.8778587962962963</v>
      </c>
      <c r="C2331" t="s">
        <v>150</v>
      </c>
      <c r="D2331" t="s">
        <v>36</v>
      </c>
      <c r="E2331" t="s">
        <v>191</v>
      </c>
      <c r="F2331" t="s">
        <v>192</v>
      </c>
      <c r="G2331">
        <v>-22933</v>
      </c>
      <c r="H2331" t="s">
        <v>153</v>
      </c>
      <c r="I2331" t="s">
        <v>157</v>
      </c>
    </row>
    <row r="2332" spans="1:9">
      <c r="A2332" s="49">
        <v>45799</v>
      </c>
      <c r="B2332" s="50">
        <v>0.7361458333333334</v>
      </c>
      <c r="C2332" t="s">
        <v>155</v>
      </c>
      <c r="D2332" t="s">
        <v>155</v>
      </c>
      <c r="E2332" t="s">
        <v>32</v>
      </c>
      <c r="F2332" t="s">
        <v>962</v>
      </c>
      <c r="G2332">
        <v>790000</v>
      </c>
      <c r="H2332" t="s">
        <v>153</v>
      </c>
      <c r="I2332" t="s">
        <v>64</v>
      </c>
    </row>
    <row r="2333" spans="1:9">
      <c r="A2333" s="49">
        <v>45799</v>
      </c>
      <c r="B2333" s="50">
        <v>0.7252662037037036</v>
      </c>
      <c r="C2333" t="s">
        <v>150</v>
      </c>
      <c r="D2333" t="s">
        <v>35</v>
      </c>
      <c r="E2333" t="s">
        <v>169</v>
      </c>
      <c r="F2333" t="s">
        <v>739</v>
      </c>
      <c r="G2333">
        <v>-1408</v>
      </c>
      <c r="H2333" t="s">
        <v>153</v>
      </c>
      <c r="I2333" t="s">
        <v>164</v>
      </c>
    </row>
    <row r="2334" spans="1:9">
      <c r="A2334" s="49">
        <v>45799</v>
      </c>
      <c r="B2334" s="50">
        <v>0.6836226851851852</v>
      </c>
      <c r="C2334" t="s">
        <v>155</v>
      </c>
      <c r="D2334" t="s">
        <v>155</v>
      </c>
      <c r="E2334" t="s">
        <v>32</v>
      </c>
      <c r="F2334" t="s">
        <v>963</v>
      </c>
      <c r="G2334">
        <v>499000</v>
      </c>
      <c r="H2334" t="s">
        <v>153</v>
      </c>
      <c r="I2334" t="s">
        <v>64</v>
      </c>
    </row>
    <row r="2335" spans="1:9">
      <c r="A2335" s="49">
        <v>45799</v>
      </c>
      <c r="B2335" s="50">
        <v>0.6707986111111112</v>
      </c>
      <c r="C2335" t="s">
        <v>155</v>
      </c>
      <c r="D2335" t="s">
        <v>155</v>
      </c>
      <c r="E2335" t="s">
        <v>32</v>
      </c>
      <c r="F2335" t="s">
        <v>722</v>
      </c>
      <c r="G2335">
        <v>200000</v>
      </c>
      <c r="H2335" t="s">
        <v>153</v>
      </c>
      <c r="I2335" t="s">
        <v>157</v>
      </c>
    </row>
    <row r="2336" spans="1:9">
      <c r="A2336" s="49">
        <v>45799</v>
      </c>
      <c r="B2336" s="50">
        <v>0.5331828703703704</v>
      </c>
      <c r="C2336" t="s">
        <v>150</v>
      </c>
      <c r="D2336" t="s">
        <v>42</v>
      </c>
      <c r="E2336" t="s">
        <v>151</v>
      </c>
      <c r="F2336" t="s">
        <v>152</v>
      </c>
      <c r="G2336">
        <v>-12290</v>
      </c>
      <c r="H2336" t="s">
        <v>153</v>
      </c>
      <c r="I2336" t="s">
        <v>64</v>
      </c>
    </row>
    <row r="2337" spans="1:9">
      <c r="A2337" s="49">
        <v>45799</v>
      </c>
      <c r="B2337" s="50">
        <v>0.5108217592592592</v>
      </c>
      <c r="C2337" t="s">
        <v>155</v>
      </c>
      <c r="D2337" t="s">
        <v>155</v>
      </c>
      <c r="E2337" t="s">
        <v>32</v>
      </c>
      <c r="F2337" t="s">
        <v>964</v>
      </c>
      <c r="G2337">
        <v>499000</v>
      </c>
      <c r="H2337" t="s">
        <v>153</v>
      </c>
      <c r="I2337" t="s">
        <v>64</v>
      </c>
    </row>
    <row r="2338" spans="1:9">
      <c r="A2338" s="49">
        <v>45798</v>
      </c>
      <c r="B2338" s="50">
        <v>0.8497106481481481</v>
      </c>
      <c r="C2338" t="s">
        <v>155</v>
      </c>
      <c r="D2338" t="s">
        <v>155</v>
      </c>
      <c r="E2338" t="s">
        <v>32</v>
      </c>
      <c r="F2338" t="s">
        <v>965</v>
      </c>
      <c r="G2338">
        <v>499000</v>
      </c>
      <c r="H2338" t="s">
        <v>153</v>
      </c>
      <c r="I2338" t="s">
        <v>64</v>
      </c>
    </row>
    <row r="2339" spans="1:9">
      <c r="A2339" s="49">
        <v>45798</v>
      </c>
      <c r="B2339" s="50">
        <v>0.787337962962963</v>
      </c>
      <c r="C2339" t="s">
        <v>150</v>
      </c>
      <c r="D2339" t="s">
        <v>42</v>
      </c>
      <c r="E2339" t="s">
        <v>151</v>
      </c>
      <c r="F2339" t="s">
        <v>966</v>
      </c>
      <c r="G2339">
        <v>-17050</v>
      </c>
      <c r="H2339" t="s">
        <v>153</v>
      </c>
      <c r="I2339" t="s">
        <v>164</v>
      </c>
    </row>
    <row r="2340" spans="1:9">
      <c r="A2340" s="49">
        <v>45798</v>
      </c>
      <c r="B2340" s="50">
        <v>0.7873148148148148</v>
      </c>
      <c r="C2340" t="s">
        <v>155</v>
      </c>
      <c r="D2340" t="s">
        <v>155</v>
      </c>
      <c r="E2340" t="s">
        <v>32</v>
      </c>
      <c r="F2340" t="s">
        <v>160</v>
      </c>
      <c r="G2340">
        <v>-10000</v>
      </c>
      <c r="H2340" t="s">
        <v>153</v>
      </c>
      <c r="I2340" t="s">
        <v>64</v>
      </c>
    </row>
    <row r="2341" spans="1:9">
      <c r="A2341" s="49">
        <v>45798</v>
      </c>
      <c r="B2341" s="50">
        <v>0.7592245370370371</v>
      </c>
      <c r="C2341" t="s">
        <v>150</v>
      </c>
      <c r="D2341" t="s">
        <v>43</v>
      </c>
      <c r="E2341" t="s">
        <v>644</v>
      </c>
      <c r="F2341" t="s">
        <v>967</v>
      </c>
      <c r="G2341">
        <v>-32990</v>
      </c>
      <c r="H2341" t="s">
        <v>153</v>
      </c>
      <c r="I2341" t="s">
        <v>64</v>
      </c>
    </row>
    <row r="2342" spans="1:9">
      <c r="A2342" s="49">
        <v>45798</v>
      </c>
      <c r="B2342" s="50">
        <v>0.615474537037037</v>
      </c>
      <c r="C2342" t="s">
        <v>155</v>
      </c>
      <c r="D2342" t="s">
        <v>241</v>
      </c>
      <c r="E2342" t="s">
        <v>32</v>
      </c>
      <c r="F2342" t="s">
        <v>957</v>
      </c>
      <c r="G2342">
        <v>499000</v>
      </c>
      <c r="H2342" t="s">
        <v>153</v>
      </c>
      <c r="I2342" t="s">
        <v>64</v>
      </c>
    </row>
    <row r="2343" spans="1:9">
      <c r="A2343" s="49">
        <v>45797</v>
      </c>
      <c r="B2343" s="50">
        <v>0.8523495370370371</v>
      </c>
      <c r="C2343" t="s">
        <v>155</v>
      </c>
      <c r="D2343" t="s">
        <v>155</v>
      </c>
      <c r="E2343" t="s">
        <v>32</v>
      </c>
      <c r="F2343" t="s">
        <v>874</v>
      </c>
      <c r="G2343">
        <v>-120000</v>
      </c>
      <c r="H2343" t="s">
        <v>153</v>
      </c>
      <c r="I2343" t="s">
        <v>64</v>
      </c>
    </row>
    <row r="2344" spans="1:9">
      <c r="A2344" s="49">
        <v>45797</v>
      </c>
      <c r="B2344" s="50">
        <v>0.7984490740740741</v>
      </c>
      <c r="C2344" t="s">
        <v>167</v>
      </c>
      <c r="D2344" t="s">
        <v>31</v>
      </c>
      <c r="E2344" t="s">
        <v>32</v>
      </c>
      <c r="F2344" t="s">
        <v>168</v>
      </c>
      <c r="G2344">
        <v>3000</v>
      </c>
      <c r="H2344" t="s">
        <v>153</v>
      </c>
      <c r="I2344" t="s">
        <v>64</v>
      </c>
    </row>
    <row r="2345" spans="1:9">
      <c r="A2345" s="49">
        <v>45797</v>
      </c>
      <c r="B2345" s="50">
        <v>0.7984375</v>
      </c>
      <c r="C2345" t="s">
        <v>150</v>
      </c>
      <c r="D2345" t="s">
        <v>35</v>
      </c>
      <c r="E2345" t="s">
        <v>169</v>
      </c>
      <c r="F2345" t="s">
        <v>170</v>
      </c>
      <c r="G2345">
        <v>-1150</v>
      </c>
      <c r="H2345" t="s">
        <v>153</v>
      </c>
      <c r="I2345" t="s">
        <v>171</v>
      </c>
    </row>
    <row r="2346" spans="1:9">
      <c r="A2346" s="49">
        <v>45797</v>
      </c>
      <c r="B2346" s="50">
        <v>0.7950694444444445</v>
      </c>
      <c r="C2346" t="s">
        <v>150</v>
      </c>
      <c r="D2346" t="s">
        <v>35</v>
      </c>
      <c r="E2346" t="s">
        <v>169</v>
      </c>
      <c r="F2346" t="s">
        <v>170</v>
      </c>
      <c r="G2346">
        <v>3000</v>
      </c>
      <c r="H2346" t="s">
        <v>153</v>
      </c>
      <c r="I2346" t="s">
        <v>171</v>
      </c>
    </row>
    <row r="2347" spans="1:9">
      <c r="A2347" s="49">
        <v>45797</v>
      </c>
      <c r="B2347" s="50">
        <v>0.7950578703703703</v>
      </c>
      <c r="C2347" t="s">
        <v>150</v>
      </c>
      <c r="D2347" t="s">
        <v>40</v>
      </c>
      <c r="E2347" t="s">
        <v>172</v>
      </c>
      <c r="F2347" t="s">
        <v>173</v>
      </c>
      <c r="G2347">
        <v>-3000</v>
      </c>
      <c r="H2347" t="s">
        <v>153</v>
      </c>
      <c r="I2347" t="s">
        <v>64</v>
      </c>
    </row>
    <row r="2348" spans="1:9">
      <c r="A2348" s="49">
        <v>45797</v>
      </c>
      <c r="B2348" s="50">
        <v>0.7589930555555555</v>
      </c>
      <c r="C2348" t="s">
        <v>150</v>
      </c>
      <c r="D2348" t="s">
        <v>40</v>
      </c>
      <c r="E2348" t="s">
        <v>223</v>
      </c>
      <c r="F2348" t="s">
        <v>968</v>
      </c>
      <c r="G2348">
        <v>-5000</v>
      </c>
      <c r="H2348" t="s">
        <v>153</v>
      </c>
      <c r="I2348" t="s">
        <v>214</v>
      </c>
    </row>
    <row r="2349" spans="1:9">
      <c r="A2349" s="49">
        <v>45797</v>
      </c>
      <c r="B2349" s="50">
        <v>0.6681365740740741</v>
      </c>
      <c r="C2349" t="s">
        <v>155</v>
      </c>
      <c r="D2349" t="s">
        <v>155</v>
      </c>
      <c r="E2349" t="s">
        <v>32</v>
      </c>
      <c r="F2349" t="s">
        <v>246</v>
      </c>
      <c r="G2349">
        <v>-36100</v>
      </c>
      <c r="H2349" t="s">
        <v>153</v>
      </c>
      <c r="I2349" t="s">
        <v>64</v>
      </c>
    </row>
    <row r="2350" spans="1:9">
      <c r="A2350" s="49">
        <v>45797</v>
      </c>
      <c r="B2350" s="50">
        <v>0.6083680555555555</v>
      </c>
      <c r="C2350" t="s">
        <v>150</v>
      </c>
      <c r="D2350" t="s">
        <v>39</v>
      </c>
      <c r="E2350" t="s">
        <v>969</v>
      </c>
      <c r="F2350" t="s">
        <v>970</v>
      </c>
      <c r="G2350">
        <v>-12000</v>
      </c>
      <c r="H2350" t="s">
        <v>153</v>
      </c>
      <c r="I2350" t="s">
        <v>214</v>
      </c>
    </row>
    <row r="2351" spans="1:9">
      <c r="A2351" s="49">
        <v>45797</v>
      </c>
      <c r="B2351" s="50">
        <v>0.6080324074074074</v>
      </c>
      <c r="C2351" t="s">
        <v>150</v>
      </c>
      <c r="D2351" t="s">
        <v>39</v>
      </c>
      <c r="E2351" t="s">
        <v>969</v>
      </c>
      <c r="F2351" t="s">
        <v>970</v>
      </c>
      <c r="G2351">
        <v>15000</v>
      </c>
      <c r="H2351" t="s">
        <v>153</v>
      </c>
      <c r="I2351" t="s">
        <v>214</v>
      </c>
    </row>
    <row r="2352" spans="1:9">
      <c r="A2352" s="49">
        <v>45797</v>
      </c>
      <c r="B2352" s="50">
        <v>0.6076851851851852</v>
      </c>
      <c r="C2352" t="s">
        <v>150</v>
      </c>
      <c r="D2352" t="s">
        <v>39</v>
      </c>
      <c r="E2352" t="s">
        <v>969</v>
      </c>
      <c r="F2352" t="s">
        <v>970</v>
      </c>
      <c r="G2352">
        <v>-15000</v>
      </c>
      <c r="H2352" t="s">
        <v>153</v>
      </c>
      <c r="I2352" t="s">
        <v>214</v>
      </c>
    </row>
    <row r="2353" spans="1:9">
      <c r="A2353" s="49">
        <v>45797</v>
      </c>
      <c r="B2353" s="50">
        <v>0.5414583333333334</v>
      </c>
      <c r="C2353" t="s">
        <v>150</v>
      </c>
      <c r="D2353" t="s">
        <v>35</v>
      </c>
      <c r="E2353" t="s">
        <v>174</v>
      </c>
      <c r="F2353" t="s">
        <v>314</v>
      </c>
      <c r="G2353">
        <v>-10000</v>
      </c>
      <c r="H2353" t="s">
        <v>153</v>
      </c>
      <c r="I2353" t="s">
        <v>64</v>
      </c>
    </row>
    <row r="2354" spans="1:9">
      <c r="A2354" s="49">
        <v>45797</v>
      </c>
      <c r="B2354" s="50">
        <v>0.4744675925925926</v>
      </c>
      <c r="C2354" t="s">
        <v>150</v>
      </c>
      <c r="D2354" t="s">
        <v>48</v>
      </c>
      <c r="E2354" t="s">
        <v>185</v>
      </c>
      <c r="F2354" t="s">
        <v>939</v>
      </c>
      <c r="G2354">
        <v>-2000</v>
      </c>
      <c r="H2354" t="s">
        <v>153</v>
      </c>
      <c r="I2354" t="s">
        <v>164</v>
      </c>
    </row>
    <row r="2355" spans="1:9">
      <c r="A2355" s="49">
        <v>45797</v>
      </c>
      <c r="B2355" s="50">
        <v>0.4744675925925926</v>
      </c>
      <c r="C2355" t="s">
        <v>155</v>
      </c>
      <c r="D2355" t="s">
        <v>158</v>
      </c>
      <c r="E2355" t="s">
        <v>32</v>
      </c>
      <c r="F2355" t="s">
        <v>159</v>
      </c>
      <c r="G2355">
        <v>10000</v>
      </c>
      <c r="H2355" t="s">
        <v>153</v>
      </c>
      <c r="I2355" t="s">
        <v>157</v>
      </c>
    </row>
    <row r="2356" spans="1:9">
      <c r="A2356" s="49">
        <v>45797</v>
      </c>
      <c r="B2356" s="50">
        <v>0.4744675925925926</v>
      </c>
      <c r="C2356" t="s">
        <v>155</v>
      </c>
      <c r="D2356" t="s">
        <v>158</v>
      </c>
      <c r="E2356" t="s">
        <v>32</v>
      </c>
      <c r="F2356" t="s">
        <v>160</v>
      </c>
      <c r="G2356">
        <v>-10000</v>
      </c>
      <c r="H2356" t="s">
        <v>153</v>
      </c>
      <c r="I2356" t="s">
        <v>64</v>
      </c>
    </row>
    <row r="2357" spans="1:9">
      <c r="A2357" s="49">
        <v>45796</v>
      </c>
      <c r="B2357" s="50">
        <v>0.9326851851851852</v>
      </c>
      <c r="C2357" t="s">
        <v>167</v>
      </c>
      <c r="D2357" t="s">
        <v>31</v>
      </c>
      <c r="E2357" t="s">
        <v>32</v>
      </c>
      <c r="F2357" t="s">
        <v>168</v>
      </c>
      <c r="G2357">
        <v>3000</v>
      </c>
      <c r="H2357" t="s">
        <v>153</v>
      </c>
      <c r="I2357" t="s">
        <v>64</v>
      </c>
    </row>
    <row r="2358" spans="1:9">
      <c r="A2358" s="49">
        <v>45796</v>
      </c>
      <c r="B2358" s="50">
        <v>0.9326851851851852</v>
      </c>
      <c r="C2358" t="s">
        <v>150</v>
      </c>
      <c r="D2358" t="s">
        <v>35</v>
      </c>
      <c r="E2358" t="s">
        <v>169</v>
      </c>
      <c r="F2358" t="s">
        <v>170</v>
      </c>
      <c r="G2358">
        <v>-1620</v>
      </c>
      <c r="H2358" t="s">
        <v>153</v>
      </c>
      <c r="I2358" t="s">
        <v>171</v>
      </c>
    </row>
    <row r="2359" spans="1:9">
      <c r="A2359" s="49">
        <v>45796</v>
      </c>
      <c r="B2359" s="50">
        <v>0.9286921296296297</v>
      </c>
      <c r="C2359" t="s">
        <v>150</v>
      </c>
      <c r="D2359" t="s">
        <v>35</v>
      </c>
      <c r="E2359" t="s">
        <v>169</v>
      </c>
      <c r="F2359" t="s">
        <v>170</v>
      </c>
      <c r="G2359">
        <v>3000</v>
      </c>
      <c r="H2359" t="s">
        <v>153</v>
      </c>
      <c r="I2359" t="s">
        <v>171</v>
      </c>
    </row>
    <row r="2360" spans="1:9">
      <c r="A2360" s="49">
        <v>45796</v>
      </c>
      <c r="B2360" s="50">
        <v>0.9286805555555555</v>
      </c>
      <c r="C2360" t="s">
        <v>150</v>
      </c>
      <c r="D2360" t="s">
        <v>40</v>
      </c>
      <c r="E2360" t="s">
        <v>172</v>
      </c>
      <c r="F2360" t="s">
        <v>173</v>
      </c>
      <c r="G2360">
        <v>-3000</v>
      </c>
      <c r="H2360" t="s">
        <v>153</v>
      </c>
      <c r="I2360" t="s">
        <v>64</v>
      </c>
    </row>
    <row r="2361" spans="1:9">
      <c r="A2361" s="49">
        <v>45796</v>
      </c>
      <c r="B2361" s="50">
        <v>0.8977314814814815</v>
      </c>
      <c r="C2361" t="s">
        <v>150</v>
      </c>
      <c r="D2361" t="s">
        <v>42</v>
      </c>
      <c r="E2361" t="s">
        <v>212</v>
      </c>
      <c r="F2361" t="s">
        <v>854</v>
      </c>
      <c r="G2361">
        <v>-64000</v>
      </c>
      <c r="H2361" t="s">
        <v>153</v>
      </c>
      <c r="I2361" t="s">
        <v>214</v>
      </c>
    </row>
    <row r="2362" spans="1:9">
      <c r="A2362" s="49">
        <v>45796</v>
      </c>
      <c r="B2362" s="50">
        <v>0.6564930555555556</v>
      </c>
      <c r="C2362" t="s">
        <v>150</v>
      </c>
      <c r="D2362" t="s">
        <v>48</v>
      </c>
      <c r="E2362" t="s">
        <v>185</v>
      </c>
      <c r="F2362" t="s">
        <v>971</v>
      </c>
      <c r="G2362">
        <v>-7500</v>
      </c>
      <c r="H2362" t="s">
        <v>153</v>
      </c>
      <c r="I2362" t="s">
        <v>214</v>
      </c>
    </row>
    <row r="2363" spans="1:9">
      <c r="A2363" s="49">
        <v>45796</v>
      </c>
      <c r="B2363" s="50">
        <v>0.627800925925926</v>
      </c>
      <c r="C2363" t="s">
        <v>155</v>
      </c>
      <c r="D2363" t="s">
        <v>155</v>
      </c>
      <c r="E2363" t="s">
        <v>32</v>
      </c>
      <c r="F2363" t="s">
        <v>972</v>
      </c>
      <c r="G2363">
        <v>-300000</v>
      </c>
      <c r="H2363" t="s">
        <v>153</v>
      </c>
      <c r="I2363" t="s">
        <v>157</v>
      </c>
    </row>
    <row r="2364" spans="1:9">
      <c r="A2364" s="49">
        <v>45796</v>
      </c>
      <c r="B2364" s="50">
        <v>0.6277893518518518</v>
      </c>
      <c r="C2364" t="s">
        <v>155</v>
      </c>
      <c r="D2364" t="s">
        <v>158</v>
      </c>
      <c r="E2364" t="s">
        <v>32</v>
      </c>
      <c r="F2364" t="s">
        <v>160</v>
      </c>
      <c r="G2364">
        <v>-289305</v>
      </c>
      <c r="H2364" t="s">
        <v>153</v>
      </c>
      <c r="I2364" t="s">
        <v>64</v>
      </c>
    </row>
    <row r="2365" spans="1:9">
      <c r="A2365" s="49">
        <v>45796</v>
      </c>
      <c r="B2365" s="50">
        <v>0.6277893518518518</v>
      </c>
      <c r="C2365" t="s">
        <v>155</v>
      </c>
      <c r="D2365" t="s">
        <v>158</v>
      </c>
      <c r="E2365" t="s">
        <v>32</v>
      </c>
      <c r="F2365" t="s">
        <v>159</v>
      </c>
      <c r="G2365">
        <v>289305</v>
      </c>
      <c r="H2365" t="s">
        <v>153</v>
      </c>
      <c r="I2365" t="s">
        <v>157</v>
      </c>
    </row>
    <row r="2366" spans="1:9">
      <c r="A2366" s="49">
        <v>45796</v>
      </c>
      <c r="B2366" s="50">
        <v>0.6216550925925926</v>
      </c>
      <c r="C2366" t="s">
        <v>150</v>
      </c>
      <c r="D2366" t="s">
        <v>35</v>
      </c>
      <c r="E2366" t="s">
        <v>169</v>
      </c>
      <c r="F2366" t="s">
        <v>739</v>
      </c>
      <c r="G2366">
        <v>-1408</v>
      </c>
      <c r="H2366" t="s">
        <v>153</v>
      </c>
      <c r="I2366" t="s">
        <v>164</v>
      </c>
    </row>
    <row r="2367" spans="1:9">
      <c r="A2367" s="49">
        <v>45796</v>
      </c>
      <c r="B2367" s="50">
        <v>0.2651041666666666</v>
      </c>
      <c r="C2367" t="s">
        <v>150</v>
      </c>
      <c r="D2367" t="s">
        <v>37</v>
      </c>
      <c r="E2367" t="s">
        <v>201</v>
      </c>
      <c r="F2367" t="s">
        <v>973</v>
      </c>
      <c r="G2367">
        <v>-96131</v>
      </c>
      <c r="H2367" t="s">
        <v>153</v>
      </c>
      <c r="I2367" t="s">
        <v>214</v>
      </c>
    </row>
    <row r="2368" spans="1:9">
      <c r="A2368" s="49">
        <v>45796</v>
      </c>
      <c r="B2368" s="50">
        <v>0.07553240740740741</v>
      </c>
      <c r="C2368" t="s">
        <v>150</v>
      </c>
      <c r="D2368" t="s">
        <v>35</v>
      </c>
      <c r="E2368" t="s">
        <v>174</v>
      </c>
      <c r="F2368" t="s">
        <v>314</v>
      </c>
      <c r="G2368">
        <v>-10000</v>
      </c>
      <c r="H2368" t="s">
        <v>153</v>
      </c>
      <c r="I2368" t="s">
        <v>64</v>
      </c>
    </row>
    <row r="2369" spans="1:9">
      <c r="A2369" s="49">
        <v>45795</v>
      </c>
      <c r="B2369" s="50">
        <v>0.9114467592592592</v>
      </c>
      <c r="C2369" t="s">
        <v>155</v>
      </c>
      <c r="D2369" t="s">
        <v>155</v>
      </c>
      <c r="E2369" t="s">
        <v>32</v>
      </c>
      <c r="F2369" t="s">
        <v>974</v>
      </c>
      <c r="G2369">
        <v>3000</v>
      </c>
      <c r="H2369" t="s">
        <v>153</v>
      </c>
      <c r="I2369" t="s">
        <v>157</v>
      </c>
    </row>
    <row r="2370" spans="1:9">
      <c r="A2370" s="49">
        <v>45795</v>
      </c>
      <c r="B2370" s="50">
        <v>0.9046296296296297</v>
      </c>
      <c r="C2370" t="s">
        <v>150</v>
      </c>
      <c r="D2370" t="s">
        <v>35</v>
      </c>
      <c r="E2370" t="s">
        <v>174</v>
      </c>
      <c r="F2370" t="s">
        <v>314</v>
      </c>
      <c r="G2370">
        <v>-10000</v>
      </c>
      <c r="H2370" t="s">
        <v>153</v>
      </c>
      <c r="I2370" t="s">
        <v>64</v>
      </c>
    </row>
    <row r="2371" spans="1:9">
      <c r="A2371" s="49">
        <v>45795</v>
      </c>
      <c r="B2371" s="50">
        <v>0.7065856481481482</v>
      </c>
      <c r="C2371" t="s">
        <v>150</v>
      </c>
      <c r="D2371" t="s">
        <v>48</v>
      </c>
      <c r="E2371" t="s">
        <v>185</v>
      </c>
      <c r="F2371" t="s">
        <v>309</v>
      </c>
      <c r="G2371">
        <v>-4000</v>
      </c>
      <c r="H2371" t="s">
        <v>153</v>
      </c>
      <c r="I2371" t="s">
        <v>214</v>
      </c>
    </row>
    <row r="2372" spans="1:9">
      <c r="A2372" s="49">
        <v>45795</v>
      </c>
      <c r="B2372" s="50">
        <v>0.5649884259259259</v>
      </c>
      <c r="C2372" t="s">
        <v>150</v>
      </c>
      <c r="D2372" t="s">
        <v>35</v>
      </c>
      <c r="E2372" t="s">
        <v>169</v>
      </c>
      <c r="F2372" t="s">
        <v>170</v>
      </c>
      <c r="G2372">
        <v>-1610</v>
      </c>
      <c r="H2372" t="s">
        <v>153</v>
      </c>
      <c r="I2372" t="s">
        <v>171</v>
      </c>
    </row>
    <row r="2373" spans="1:9">
      <c r="A2373" s="49">
        <v>45795</v>
      </c>
      <c r="B2373" s="50">
        <v>0.5649884259259259</v>
      </c>
      <c r="C2373" t="s">
        <v>167</v>
      </c>
      <c r="D2373" t="s">
        <v>31</v>
      </c>
      <c r="E2373" t="s">
        <v>32</v>
      </c>
      <c r="F2373" t="s">
        <v>168</v>
      </c>
      <c r="G2373">
        <v>3000</v>
      </c>
      <c r="H2373" t="s">
        <v>153</v>
      </c>
      <c r="I2373" t="s">
        <v>64</v>
      </c>
    </row>
    <row r="2374" spans="1:9">
      <c r="A2374" s="49">
        <v>45795</v>
      </c>
      <c r="B2374" s="50">
        <v>0.5606134259259259</v>
      </c>
      <c r="C2374" t="s">
        <v>150</v>
      </c>
      <c r="D2374" t="s">
        <v>35</v>
      </c>
      <c r="E2374" t="s">
        <v>169</v>
      </c>
      <c r="F2374" t="s">
        <v>170</v>
      </c>
      <c r="G2374">
        <v>3000</v>
      </c>
      <c r="H2374" t="s">
        <v>153</v>
      </c>
      <c r="I2374" t="s">
        <v>171</v>
      </c>
    </row>
    <row r="2375" spans="1:9">
      <c r="A2375" s="49">
        <v>45795</v>
      </c>
      <c r="B2375" s="50">
        <v>0.5606018518518519</v>
      </c>
      <c r="C2375" t="s">
        <v>150</v>
      </c>
      <c r="D2375" t="s">
        <v>40</v>
      </c>
      <c r="E2375" t="s">
        <v>172</v>
      </c>
      <c r="F2375" t="s">
        <v>173</v>
      </c>
      <c r="G2375">
        <v>-3000</v>
      </c>
      <c r="H2375" t="s">
        <v>153</v>
      </c>
      <c r="I2375" t="s">
        <v>64</v>
      </c>
    </row>
    <row r="2376" spans="1:9">
      <c r="A2376" s="49">
        <v>45795</v>
      </c>
      <c r="B2376" s="50">
        <v>0.5603472222222222</v>
      </c>
      <c r="C2376" t="s">
        <v>150</v>
      </c>
      <c r="D2376" t="s">
        <v>35</v>
      </c>
      <c r="E2376" t="s">
        <v>169</v>
      </c>
      <c r="F2376" t="s">
        <v>170</v>
      </c>
      <c r="G2376">
        <v>-230</v>
      </c>
      <c r="H2376" t="s">
        <v>153</v>
      </c>
      <c r="I2376" t="s">
        <v>171</v>
      </c>
    </row>
    <row r="2377" spans="1:9">
      <c r="A2377" s="49">
        <v>45795</v>
      </c>
      <c r="B2377" s="50">
        <v>0.5601388888888889</v>
      </c>
      <c r="C2377" t="s">
        <v>150</v>
      </c>
      <c r="D2377" t="s">
        <v>35</v>
      </c>
      <c r="E2377" t="s">
        <v>169</v>
      </c>
      <c r="F2377" t="s">
        <v>170</v>
      </c>
      <c r="G2377">
        <v>3000</v>
      </c>
      <c r="H2377" t="s">
        <v>153</v>
      </c>
      <c r="I2377" t="s">
        <v>171</v>
      </c>
    </row>
    <row r="2378" spans="1:9">
      <c r="A2378" s="49">
        <v>45795</v>
      </c>
      <c r="B2378" s="50">
        <v>0.5598842592592592</v>
      </c>
      <c r="C2378" t="s">
        <v>150</v>
      </c>
      <c r="D2378" t="s">
        <v>35</v>
      </c>
      <c r="E2378" t="s">
        <v>169</v>
      </c>
      <c r="F2378" t="s">
        <v>170</v>
      </c>
      <c r="G2378">
        <v>3000</v>
      </c>
      <c r="H2378" t="s">
        <v>153</v>
      </c>
      <c r="I2378" t="s">
        <v>171</v>
      </c>
    </row>
    <row r="2379" spans="1:9">
      <c r="A2379" s="49">
        <v>45795</v>
      </c>
      <c r="B2379" s="50">
        <v>0.5598726851851852</v>
      </c>
      <c r="C2379" t="s">
        <v>150</v>
      </c>
      <c r="D2379" t="s">
        <v>40</v>
      </c>
      <c r="E2379" t="s">
        <v>172</v>
      </c>
      <c r="F2379" t="s">
        <v>173</v>
      </c>
      <c r="G2379">
        <v>-3000</v>
      </c>
      <c r="H2379" t="s">
        <v>153</v>
      </c>
      <c r="I2379" t="s">
        <v>64</v>
      </c>
    </row>
    <row r="2380" spans="1:9">
      <c r="A2380" s="49">
        <v>45795</v>
      </c>
      <c r="B2380" s="50">
        <v>0.02618055555555555</v>
      </c>
      <c r="C2380" t="s">
        <v>150</v>
      </c>
      <c r="D2380" t="s">
        <v>35</v>
      </c>
      <c r="E2380" t="s">
        <v>174</v>
      </c>
      <c r="F2380" t="s">
        <v>975</v>
      </c>
      <c r="G2380">
        <v>-21400</v>
      </c>
      <c r="H2380" t="s">
        <v>153</v>
      </c>
      <c r="I2380" t="s">
        <v>214</v>
      </c>
    </row>
    <row r="2381" spans="1:9">
      <c r="A2381" s="49">
        <v>45794</v>
      </c>
      <c r="B2381" s="50">
        <v>0.9810185185185185</v>
      </c>
      <c r="C2381" t="s">
        <v>155</v>
      </c>
      <c r="D2381" t="s">
        <v>155</v>
      </c>
      <c r="E2381" t="s">
        <v>32</v>
      </c>
      <c r="F2381" t="s">
        <v>976</v>
      </c>
      <c r="G2381">
        <v>499000</v>
      </c>
      <c r="H2381" t="s">
        <v>153</v>
      </c>
      <c r="I2381" t="s">
        <v>64</v>
      </c>
    </row>
    <row r="2382" spans="1:9">
      <c r="A2382" s="49">
        <v>45794</v>
      </c>
      <c r="B2382" s="50">
        <v>0.9417245370370371</v>
      </c>
      <c r="C2382" t="s">
        <v>155</v>
      </c>
      <c r="D2382" t="s">
        <v>155</v>
      </c>
      <c r="E2382" t="s">
        <v>32</v>
      </c>
      <c r="F2382" t="s">
        <v>941</v>
      </c>
      <c r="G2382">
        <v>499000</v>
      </c>
      <c r="H2382" t="s">
        <v>153</v>
      </c>
      <c r="I2382" t="s">
        <v>64</v>
      </c>
    </row>
    <row r="2383" spans="1:9">
      <c r="A2383" s="49">
        <v>45793</v>
      </c>
      <c r="B2383" s="50">
        <v>0.6142476851851851</v>
      </c>
      <c r="C2383" t="s">
        <v>150</v>
      </c>
      <c r="D2383" t="s">
        <v>48</v>
      </c>
      <c r="E2383" t="s">
        <v>185</v>
      </c>
      <c r="F2383" t="s">
        <v>186</v>
      </c>
      <c r="G2383">
        <v>-12000</v>
      </c>
      <c r="H2383" t="s">
        <v>153</v>
      </c>
      <c r="I2383" t="s">
        <v>214</v>
      </c>
    </row>
    <row r="2384" spans="1:9">
      <c r="A2384" s="49">
        <v>45793</v>
      </c>
      <c r="B2384" s="50">
        <v>0.6141087962962963</v>
      </c>
      <c r="C2384" t="s">
        <v>150</v>
      </c>
      <c r="D2384" t="s">
        <v>48</v>
      </c>
      <c r="E2384" t="s">
        <v>185</v>
      </c>
      <c r="F2384" t="s">
        <v>186</v>
      </c>
      <c r="G2384">
        <v>12500</v>
      </c>
      <c r="H2384" t="s">
        <v>153</v>
      </c>
      <c r="I2384" t="s">
        <v>214</v>
      </c>
    </row>
    <row r="2385" spans="1:9">
      <c r="A2385" s="49">
        <v>45793</v>
      </c>
      <c r="B2385" s="50">
        <v>0.6133912037037037</v>
      </c>
      <c r="C2385" t="s">
        <v>150</v>
      </c>
      <c r="D2385" t="s">
        <v>48</v>
      </c>
      <c r="E2385" t="s">
        <v>185</v>
      </c>
      <c r="F2385" t="s">
        <v>186</v>
      </c>
      <c r="G2385">
        <v>-12500</v>
      </c>
      <c r="H2385" t="s">
        <v>153</v>
      </c>
      <c r="I2385" t="s">
        <v>214</v>
      </c>
    </row>
    <row r="2386" spans="1:9">
      <c r="A2386" s="49">
        <v>45792</v>
      </c>
      <c r="B2386" s="50">
        <v>0.3812847222222222</v>
      </c>
      <c r="C2386" t="s">
        <v>150</v>
      </c>
      <c r="D2386" t="s">
        <v>42</v>
      </c>
      <c r="E2386" t="s">
        <v>674</v>
      </c>
      <c r="F2386" t="s">
        <v>977</v>
      </c>
      <c r="G2386">
        <v>-4900</v>
      </c>
      <c r="H2386" t="s">
        <v>153</v>
      </c>
      <c r="I2386" t="s">
        <v>214</v>
      </c>
    </row>
    <row r="2387" spans="1:9">
      <c r="A2387" s="49">
        <v>45792</v>
      </c>
      <c r="B2387" s="50">
        <v>0.3778125</v>
      </c>
      <c r="C2387" t="s">
        <v>150</v>
      </c>
      <c r="D2387" t="s">
        <v>48</v>
      </c>
      <c r="E2387" t="s">
        <v>185</v>
      </c>
      <c r="F2387" t="s">
        <v>939</v>
      </c>
      <c r="G2387">
        <v>-3300</v>
      </c>
      <c r="H2387" t="s">
        <v>153</v>
      </c>
      <c r="I2387" t="s">
        <v>214</v>
      </c>
    </row>
    <row r="2388" spans="1:9">
      <c r="A2388" s="49">
        <v>45792</v>
      </c>
      <c r="B2388" s="50">
        <v>0.3256944444444445</v>
      </c>
      <c r="C2388" t="s">
        <v>155</v>
      </c>
      <c r="D2388" t="s">
        <v>155</v>
      </c>
      <c r="E2388" t="s">
        <v>32</v>
      </c>
      <c r="F2388" t="s">
        <v>978</v>
      </c>
      <c r="G2388">
        <v>790000</v>
      </c>
      <c r="H2388" t="s">
        <v>153</v>
      </c>
      <c r="I2388" t="s">
        <v>64</v>
      </c>
    </row>
    <row r="2389" spans="1:9">
      <c r="A2389" s="49">
        <v>45792</v>
      </c>
      <c r="B2389" s="50">
        <v>0.02101851851851852</v>
      </c>
      <c r="C2389" t="s">
        <v>150</v>
      </c>
      <c r="D2389" t="s">
        <v>44</v>
      </c>
      <c r="E2389" t="s">
        <v>225</v>
      </c>
      <c r="F2389" t="s">
        <v>507</v>
      </c>
      <c r="G2389">
        <v>-471557</v>
      </c>
      <c r="H2389" t="s">
        <v>153</v>
      </c>
      <c r="I2389" t="s">
        <v>214</v>
      </c>
    </row>
    <row r="2390" spans="1:9">
      <c r="A2390" s="49">
        <v>45791</v>
      </c>
      <c r="B2390" s="50">
        <v>0.9420717592592592</v>
      </c>
      <c r="C2390" t="s">
        <v>155</v>
      </c>
      <c r="D2390" t="s">
        <v>158</v>
      </c>
      <c r="E2390" t="s">
        <v>32</v>
      </c>
      <c r="F2390" t="s">
        <v>7</v>
      </c>
      <c r="G2390">
        <v>-10000000</v>
      </c>
      <c r="H2390" t="s">
        <v>153</v>
      </c>
      <c r="I2390" t="s">
        <v>64</v>
      </c>
    </row>
    <row r="2391" spans="1:9">
      <c r="A2391" s="49">
        <v>45791</v>
      </c>
      <c r="B2391" s="50">
        <v>0.9085648148148148</v>
      </c>
      <c r="C2391" t="s">
        <v>155</v>
      </c>
      <c r="D2391" t="s">
        <v>155</v>
      </c>
      <c r="E2391" t="s">
        <v>32</v>
      </c>
      <c r="F2391" t="s">
        <v>246</v>
      </c>
      <c r="G2391">
        <v>-751070</v>
      </c>
      <c r="H2391" t="s">
        <v>153</v>
      </c>
      <c r="I2391" t="s">
        <v>64</v>
      </c>
    </row>
    <row r="2392" spans="1:9">
      <c r="A2392" s="49">
        <v>45791</v>
      </c>
      <c r="B2392" s="50">
        <v>0.7508449074074074</v>
      </c>
      <c r="C2392" t="s">
        <v>150</v>
      </c>
      <c r="D2392" t="s">
        <v>35</v>
      </c>
      <c r="E2392" t="s">
        <v>169</v>
      </c>
      <c r="F2392" t="s">
        <v>170</v>
      </c>
      <c r="G2392">
        <v>-1380</v>
      </c>
      <c r="H2392" t="s">
        <v>153</v>
      </c>
      <c r="I2392" t="s">
        <v>171</v>
      </c>
    </row>
    <row r="2393" spans="1:9">
      <c r="A2393" s="49">
        <v>45791</v>
      </c>
      <c r="B2393" s="50">
        <v>0.7508449074074074</v>
      </c>
      <c r="C2393" t="s">
        <v>167</v>
      </c>
      <c r="D2393" t="s">
        <v>31</v>
      </c>
      <c r="E2393" t="s">
        <v>32</v>
      </c>
      <c r="F2393" t="s">
        <v>168</v>
      </c>
      <c r="G2393">
        <v>3000</v>
      </c>
      <c r="H2393" t="s">
        <v>153</v>
      </c>
      <c r="I2393" t="s">
        <v>64</v>
      </c>
    </row>
    <row r="2394" spans="1:9">
      <c r="A2394" s="49">
        <v>45791</v>
      </c>
      <c r="B2394" s="50">
        <v>0.7470601851851851</v>
      </c>
      <c r="C2394" t="s">
        <v>150</v>
      </c>
      <c r="D2394" t="s">
        <v>40</v>
      </c>
      <c r="E2394" t="s">
        <v>172</v>
      </c>
      <c r="F2394" t="s">
        <v>173</v>
      </c>
      <c r="G2394">
        <v>-3000</v>
      </c>
      <c r="H2394" t="s">
        <v>153</v>
      </c>
      <c r="I2394" t="s">
        <v>64</v>
      </c>
    </row>
    <row r="2395" spans="1:9">
      <c r="A2395" s="49">
        <v>45791</v>
      </c>
      <c r="B2395" s="50">
        <v>0.7470601851851851</v>
      </c>
      <c r="C2395" t="s">
        <v>150</v>
      </c>
      <c r="D2395" t="s">
        <v>35</v>
      </c>
      <c r="E2395" t="s">
        <v>169</v>
      </c>
      <c r="F2395" t="s">
        <v>170</v>
      </c>
      <c r="G2395">
        <v>3000</v>
      </c>
      <c r="H2395" t="s">
        <v>153</v>
      </c>
      <c r="I2395" t="s">
        <v>171</v>
      </c>
    </row>
    <row r="2396" spans="1:9">
      <c r="A2396" s="49">
        <v>45791</v>
      </c>
      <c r="B2396" s="50">
        <v>0.577662037037037</v>
      </c>
      <c r="C2396" t="s">
        <v>155</v>
      </c>
      <c r="D2396" t="s">
        <v>155</v>
      </c>
      <c r="E2396" t="s">
        <v>32</v>
      </c>
      <c r="F2396" t="s">
        <v>979</v>
      </c>
      <c r="G2396">
        <v>-25000</v>
      </c>
      <c r="H2396" t="s">
        <v>153</v>
      </c>
      <c r="I2396" t="s">
        <v>64</v>
      </c>
    </row>
    <row r="2397" spans="1:9">
      <c r="A2397" s="49">
        <v>45791</v>
      </c>
      <c r="B2397" s="50">
        <v>0.5504513888888889</v>
      </c>
      <c r="C2397" t="s">
        <v>150</v>
      </c>
      <c r="D2397" t="s">
        <v>44</v>
      </c>
      <c r="E2397" t="s">
        <v>162</v>
      </c>
      <c r="F2397" t="s">
        <v>980</v>
      </c>
      <c r="G2397">
        <v>-26800</v>
      </c>
      <c r="H2397" t="s">
        <v>153</v>
      </c>
      <c r="I2397" t="s">
        <v>214</v>
      </c>
    </row>
    <row r="2398" spans="1:9">
      <c r="A2398" s="49">
        <v>45791</v>
      </c>
      <c r="B2398" s="50">
        <v>0.49125</v>
      </c>
      <c r="C2398" t="s">
        <v>150</v>
      </c>
      <c r="D2398" t="s">
        <v>35</v>
      </c>
      <c r="E2398" t="s">
        <v>174</v>
      </c>
      <c r="F2398" t="s">
        <v>314</v>
      </c>
      <c r="G2398">
        <v>-20000</v>
      </c>
      <c r="H2398" t="s">
        <v>153</v>
      </c>
      <c r="I2398" t="s">
        <v>64</v>
      </c>
    </row>
    <row r="2399" spans="1:9">
      <c r="A2399" s="49">
        <v>45791</v>
      </c>
      <c r="B2399" s="50">
        <v>0.4019328703703703</v>
      </c>
      <c r="C2399" t="s">
        <v>150</v>
      </c>
      <c r="D2399" t="s">
        <v>48</v>
      </c>
      <c r="E2399" t="s">
        <v>185</v>
      </c>
      <c r="F2399" t="s">
        <v>939</v>
      </c>
      <c r="G2399">
        <v>-4300</v>
      </c>
      <c r="H2399" t="s">
        <v>153</v>
      </c>
      <c r="I2399" t="s">
        <v>164</v>
      </c>
    </row>
    <row r="2400" spans="1:9">
      <c r="A2400" s="49">
        <v>45791</v>
      </c>
      <c r="B2400" s="50">
        <v>0.4019328703703703</v>
      </c>
      <c r="C2400" t="s">
        <v>155</v>
      </c>
      <c r="D2400" t="s">
        <v>158</v>
      </c>
      <c r="E2400" t="s">
        <v>32</v>
      </c>
      <c r="F2400" t="s">
        <v>159</v>
      </c>
      <c r="G2400">
        <v>10000</v>
      </c>
      <c r="H2400" t="s">
        <v>153</v>
      </c>
      <c r="I2400" t="s">
        <v>157</v>
      </c>
    </row>
    <row r="2401" spans="1:9">
      <c r="A2401" s="49">
        <v>45791</v>
      </c>
      <c r="B2401" s="50">
        <v>0.4019328703703703</v>
      </c>
      <c r="C2401" t="s">
        <v>155</v>
      </c>
      <c r="D2401" t="s">
        <v>158</v>
      </c>
      <c r="E2401" t="s">
        <v>32</v>
      </c>
      <c r="F2401" t="s">
        <v>160</v>
      </c>
      <c r="G2401">
        <v>-10000</v>
      </c>
      <c r="H2401" t="s">
        <v>153</v>
      </c>
      <c r="I2401" t="s">
        <v>64</v>
      </c>
    </row>
    <row r="2402" spans="1:9">
      <c r="A2402" s="49">
        <v>45791</v>
      </c>
      <c r="B2402" s="50">
        <v>0.3958680555555555</v>
      </c>
      <c r="C2402" t="s">
        <v>150</v>
      </c>
      <c r="D2402" t="s">
        <v>44</v>
      </c>
      <c r="E2402" t="s">
        <v>162</v>
      </c>
      <c r="F2402" t="s">
        <v>163</v>
      </c>
      <c r="G2402">
        <v>-3900</v>
      </c>
      <c r="H2402" t="s">
        <v>153</v>
      </c>
      <c r="I2402" t="s">
        <v>164</v>
      </c>
    </row>
    <row r="2403" spans="1:9">
      <c r="A2403" s="49">
        <v>45790</v>
      </c>
      <c r="B2403" s="50">
        <v>0.9869097222222222</v>
      </c>
      <c r="C2403" t="s">
        <v>155</v>
      </c>
      <c r="D2403" t="s">
        <v>155</v>
      </c>
      <c r="E2403" t="s">
        <v>32</v>
      </c>
      <c r="F2403" t="s">
        <v>581</v>
      </c>
      <c r="G2403">
        <v>300000</v>
      </c>
      <c r="H2403" t="s">
        <v>153</v>
      </c>
      <c r="I2403" t="s">
        <v>64</v>
      </c>
    </row>
    <row r="2404" spans="1:9">
      <c r="A2404" s="49">
        <v>45790</v>
      </c>
      <c r="B2404" s="50">
        <v>0.9367476851851851</v>
      </c>
      <c r="C2404" t="s">
        <v>155</v>
      </c>
      <c r="D2404" t="s">
        <v>155</v>
      </c>
      <c r="E2404" t="s">
        <v>32</v>
      </c>
      <c r="F2404" t="s">
        <v>981</v>
      </c>
      <c r="G2404">
        <v>490000</v>
      </c>
      <c r="H2404" t="s">
        <v>153</v>
      </c>
      <c r="I2404" t="s">
        <v>64</v>
      </c>
    </row>
    <row r="2405" spans="1:9">
      <c r="A2405" s="49">
        <v>45790</v>
      </c>
      <c r="B2405" s="50">
        <v>0.7761689814814815</v>
      </c>
      <c r="C2405" t="s">
        <v>155</v>
      </c>
      <c r="D2405" t="s">
        <v>155</v>
      </c>
      <c r="E2405" t="s">
        <v>32</v>
      </c>
      <c r="F2405" t="s">
        <v>982</v>
      </c>
      <c r="G2405">
        <v>490000</v>
      </c>
      <c r="H2405" t="s">
        <v>153</v>
      </c>
      <c r="I2405" t="s">
        <v>64</v>
      </c>
    </row>
    <row r="2406" spans="1:9">
      <c r="A2406" s="49">
        <v>45790</v>
      </c>
      <c r="B2406" s="50">
        <v>0.7288078703703704</v>
      </c>
      <c r="C2406" t="s">
        <v>150</v>
      </c>
      <c r="D2406" t="s">
        <v>40</v>
      </c>
      <c r="E2406" t="s">
        <v>380</v>
      </c>
      <c r="F2406" t="s">
        <v>901</v>
      </c>
      <c r="G2406">
        <v>-121000</v>
      </c>
      <c r="H2406" t="s">
        <v>153</v>
      </c>
      <c r="I2406" t="s">
        <v>171</v>
      </c>
    </row>
    <row r="2407" spans="1:9">
      <c r="A2407" s="49">
        <v>45790</v>
      </c>
      <c r="B2407" s="50">
        <v>0.6175694444444444</v>
      </c>
      <c r="C2407" t="s">
        <v>155</v>
      </c>
      <c r="D2407" t="s">
        <v>158</v>
      </c>
      <c r="E2407" t="s">
        <v>32</v>
      </c>
      <c r="F2407" t="s">
        <v>160</v>
      </c>
      <c r="G2407">
        <v>-10000</v>
      </c>
      <c r="H2407" t="s">
        <v>153</v>
      </c>
      <c r="I2407" t="s">
        <v>64</v>
      </c>
    </row>
    <row r="2408" spans="1:9">
      <c r="A2408" s="49">
        <v>45790</v>
      </c>
      <c r="B2408" s="50">
        <v>0.6175578703703704</v>
      </c>
      <c r="C2408" t="s">
        <v>150</v>
      </c>
      <c r="D2408" t="s">
        <v>48</v>
      </c>
      <c r="E2408" t="s">
        <v>185</v>
      </c>
      <c r="F2408" t="s">
        <v>886</v>
      </c>
      <c r="G2408">
        <v>-2700</v>
      </c>
      <c r="H2408" t="s">
        <v>153</v>
      </c>
      <c r="I2408" t="s">
        <v>164</v>
      </c>
    </row>
    <row r="2409" spans="1:9">
      <c r="A2409" s="49">
        <v>45790</v>
      </c>
      <c r="B2409" s="50">
        <v>0.6175578703703704</v>
      </c>
      <c r="C2409" t="s">
        <v>155</v>
      </c>
      <c r="D2409" t="s">
        <v>158</v>
      </c>
      <c r="E2409" t="s">
        <v>32</v>
      </c>
      <c r="F2409" t="s">
        <v>159</v>
      </c>
      <c r="G2409">
        <v>10000</v>
      </c>
      <c r="H2409" t="s">
        <v>153</v>
      </c>
      <c r="I2409" t="s">
        <v>157</v>
      </c>
    </row>
    <row r="2410" spans="1:9">
      <c r="A2410" s="49">
        <v>45790</v>
      </c>
      <c r="B2410" s="50">
        <v>0.5835763888888889</v>
      </c>
      <c r="C2410" t="s">
        <v>150</v>
      </c>
      <c r="D2410" t="s">
        <v>44</v>
      </c>
      <c r="E2410" t="s">
        <v>225</v>
      </c>
      <c r="F2410" t="s">
        <v>983</v>
      </c>
      <c r="G2410">
        <v>-79524</v>
      </c>
      <c r="H2410" t="s">
        <v>153</v>
      </c>
      <c r="I2410" t="s">
        <v>214</v>
      </c>
    </row>
    <row r="2411" spans="1:9">
      <c r="A2411" s="49">
        <v>45790</v>
      </c>
      <c r="B2411" s="50">
        <v>0.04258101851851852</v>
      </c>
      <c r="C2411" t="s">
        <v>150</v>
      </c>
      <c r="D2411" t="s">
        <v>49</v>
      </c>
      <c r="E2411" t="s">
        <v>304</v>
      </c>
      <c r="F2411" t="s">
        <v>984</v>
      </c>
      <c r="G2411">
        <v>-153348</v>
      </c>
      <c r="H2411" t="s">
        <v>153</v>
      </c>
      <c r="I2411" t="s">
        <v>214</v>
      </c>
    </row>
    <row r="2412" spans="1:9">
      <c r="A2412" s="49">
        <v>45789</v>
      </c>
      <c r="B2412" s="50">
        <v>0.8979976851851852</v>
      </c>
      <c r="C2412" t="s">
        <v>150</v>
      </c>
      <c r="D2412" t="s">
        <v>44</v>
      </c>
      <c r="E2412" t="s">
        <v>225</v>
      </c>
      <c r="F2412" t="s">
        <v>983</v>
      </c>
      <c r="G2412">
        <v>-79863</v>
      </c>
      <c r="H2412" t="s">
        <v>153</v>
      </c>
      <c r="I2412" t="s">
        <v>214</v>
      </c>
    </row>
    <row r="2413" spans="1:9">
      <c r="A2413" s="49">
        <v>45789</v>
      </c>
      <c r="B2413" s="50">
        <v>0.8720833333333333</v>
      </c>
      <c r="C2413" t="s">
        <v>150</v>
      </c>
      <c r="D2413" t="s">
        <v>44</v>
      </c>
      <c r="E2413" t="s">
        <v>225</v>
      </c>
      <c r="F2413" t="s">
        <v>898</v>
      </c>
      <c r="G2413">
        <v>-15362</v>
      </c>
      <c r="H2413" t="s">
        <v>153</v>
      </c>
      <c r="I2413" t="s">
        <v>214</v>
      </c>
    </row>
    <row r="2414" spans="1:9">
      <c r="A2414" s="49">
        <v>45789</v>
      </c>
      <c r="B2414" s="50">
        <v>0.7743287037037037</v>
      </c>
      <c r="C2414" t="s">
        <v>155</v>
      </c>
      <c r="D2414" t="s">
        <v>70</v>
      </c>
      <c r="E2414" t="s">
        <v>32</v>
      </c>
      <c r="F2414" t="s">
        <v>238</v>
      </c>
      <c r="G2414">
        <v>-64500</v>
      </c>
      <c r="H2414" t="s">
        <v>153</v>
      </c>
      <c r="I2414" t="s">
        <v>64</v>
      </c>
    </row>
    <row r="2415" spans="1:9">
      <c r="A2415" s="49">
        <v>45789</v>
      </c>
      <c r="B2415" s="50">
        <v>0.7278819444444444</v>
      </c>
      <c r="C2415" t="s">
        <v>155</v>
      </c>
      <c r="D2415" t="s">
        <v>155</v>
      </c>
      <c r="E2415" t="s">
        <v>32</v>
      </c>
      <c r="F2415" t="s">
        <v>985</v>
      </c>
      <c r="G2415">
        <v>490000</v>
      </c>
      <c r="H2415" t="s">
        <v>153</v>
      </c>
      <c r="I2415" t="s">
        <v>64</v>
      </c>
    </row>
    <row r="2416" spans="1:9">
      <c r="A2416" s="49">
        <v>45789</v>
      </c>
      <c r="B2416" s="50">
        <v>0.5323611111111111</v>
      </c>
      <c r="C2416" t="s">
        <v>155</v>
      </c>
      <c r="D2416" t="s">
        <v>155</v>
      </c>
      <c r="E2416" t="s">
        <v>32</v>
      </c>
      <c r="F2416" t="s">
        <v>986</v>
      </c>
      <c r="G2416">
        <v>100000</v>
      </c>
      <c r="H2416" t="s">
        <v>153</v>
      </c>
      <c r="I2416" t="s">
        <v>64</v>
      </c>
    </row>
    <row r="2417" spans="1:9">
      <c r="A2417" s="49">
        <v>45789</v>
      </c>
      <c r="B2417" s="50">
        <v>0.4926388888888889</v>
      </c>
      <c r="C2417" t="s">
        <v>167</v>
      </c>
      <c r="D2417" t="s">
        <v>28</v>
      </c>
      <c r="E2417" t="s">
        <v>32</v>
      </c>
      <c r="F2417" t="s">
        <v>243</v>
      </c>
      <c r="G2417">
        <v>8023</v>
      </c>
      <c r="H2417" t="s">
        <v>153</v>
      </c>
      <c r="I2417" t="s">
        <v>64</v>
      </c>
    </row>
    <row r="2418" spans="1:9">
      <c r="A2418" s="49">
        <v>45789</v>
      </c>
      <c r="B2418" s="50">
        <v>0.0347337962962963</v>
      </c>
      <c r="C2418" t="s">
        <v>150</v>
      </c>
      <c r="D2418" t="s">
        <v>35</v>
      </c>
      <c r="E2418" t="s">
        <v>174</v>
      </c>
      <c r="F2418" t="s">
        <v>314</v>
      </c>
      <c r="G2418">
        <v>-10000</v>
      </c>
      <c r="H2418" t="s">
        <v>153</v>
      </c>
      <c r="I2418" t="s">
        <v>64</v>
      </c>
    </row>
    <row r="2419" spans="1:9">
      <c r="A2419" s="49">
        <v>45789</v>
      </c>
      <c r="B2419" s="50">
        <v>0.01085648148148148</v>
      </c>
      <c r="C2419" t="s">
        <v>150</v>
      </c>
      <c r="D2419" t="s">
        <v>35</v>
      </c>
      <c r="E2419" t="s">
        <v>174</v>
      </c>
      <c r="F2419" t="s">
        <v>314</v>
      </c>
      <c r="G2419">
        <v>-20000</v>
      </c>
      <c r="H2419" t="s">
        <v>153</v>
      </c>
      <c r="I2419" t="s">
        <v>64</v>
      </c>
    </row>
    <row r="2420" spans="1:9">
      <c r="A2420" s="49">
        <v>45788</v>
      </c>
      <c r="B2420" s="50">
        <v>0.9673958333333333</v>
      </c>
      <c r="C2420" t="s">
        <v>150</v>
      </c>
      <c r="D2420" t="s">
        <v>37</v>
      </c>
      <c r="E2420" t="s">
        <v>438</v>
      </c>
      <c r="F2420" t="s">
        <v>987</v>
      </c>
      <c r="G2420">
        <v>-4000</v>
      </c>
      <c r="H2420" t="s">
        <v>153</v>
      </c>
      <c r="I2420" t="s">
        <v>214</v>
      </c>
    </row>
    <row r="2421" spans="1:9">
      <c r="A2421" s="49">
        <v>45788</v>
      </c>
      <c r="B2421" s="50">
        <v>0.9608449074074074</v>
      </c>
      <c r="C2421" t="s">
        <v>150</v>
      </c>
      <c r="D2421" t="s">
        <v>37</v>
      </c>
      <c r="E2421" t="s">
        <v>438</v>
      </c>
      <c r="F2421" t="s">
        <v>988</v>
      </c>
      <c r="G2421">
        <v>-5000</v>
      </c>
      <c r="H2421" t="s">
        <v>153</v>
      </c>
      <c r="I2421" t="s">
        <v>214</v>
      </c>
    </row>
    <row r="2422" spans="1:9">
      <c r="A2422" s="49">
        <v>45788</v>
      </c>
      <c r="B2422" s="50">
        <v>0.9356597222222223</v>
      </c>
      <c r="C2422" t="s">
        <v>155</v>
      </c>
      <c r="D2422" t="s">
        <v>155</v>
      </c>
      <c r="E2422" t="s">
        <v>32</v>
      </c>
      <c r="F2422" t="s">
        <v>989</v>
      </c>
      <c r="G2422">
        <v>490000</v>
      </c>
      <c r="H2422" t="s">
        <v>153</v>
      </c>
      <c r="I2422" t="s">
        <v>64</v>
      </c>
    </row>
    <row r="2423" spans="1:9">
      <c r="A2423" s="49">
        <v>45788</v>
      </c>
      <c r="B2423" s="50">
        <v>0.8581481481481481</v>
      </c>
      <c r="C2423" t="s">
        <v>150</v>
      </c>
      <c r="D2423" t="s">
        <v>49</v>
      </c>
      <c r="E2423" t="s">
        <v>304</v>
      </c>
      <c r="F2423" t="s">
        <v>769</v>
      </c>
      <c r="G2423">
        <v>-100000</v>
      </c>
      <c r="H2423" t="s">
        <v>153</v>
      </c>
      <c r="I2423" t="s">
        <v>214</v>
      </c>
    </row>
    <row r="2424" spans="1:9">
      <c r="A2424" s="49">
        <v>45788</v>
      </c>
      <c r="B2424" s="50">
        <v>0.7475000000000001</v>
      </c>
      <c r="C2424" t="s">
        <v>150</v>
      </c>
      <c r="D2424" t="s">
        <v>48</v>
      </c>
      <c r="E2424" t="s">
        <v>185</v>
      </c>
      <c r="F2424" t="s">
        <v>990</v>
      </c>
      <c r="G2424">
        <v>-1500</v>
      </c>
      <c r="H2424" t="s">
        <v>153</v>
      </c>
      <c r="I2424" t="s">
        <v>214</v>
      </c>
    </row>
    <row r="2425" spans="1:9">
      <c r="A2425" s="49">
        <v>45788</v>
      </c>
      <c r="B2425" s="50">
        <v>0.7248842592592593</v>
      </c>
      <c r="C2425" t="s">
        <v>150</v>
      </c>
      <c r="D2425" t="s">
        <v>49</v>
      </c>
      <c r="E2425" t="s">
        <v>403</v>
      </c>
      <c r="F2425" t="s">
        <v>678</v>
      </c>
      <c r="G2425">
        <v>-49900</v>
      </c>
      <c r="H2425" t="s">
        <v>153</v>
      </c>
      <c r="I2425" t="s">
        <v>214</v>
      </c>
    </row>
    <row r="2426" spans="1:9">
      <c r="A2426" s="49">
        <v>45788</v>
      </c>
      <c r="B2426" s="50">
        <v>0.5292592592592592</v>
      </c>
      <c r="C2426" t="s">
        <v>155</v>
      </c>
      <c r="D2426" t="s">
        <v>155</v>
      </c>
      <c r="E2426" t="s">
        <v>32</v>
      </c>
      <c r="F2426" t="s">
        <v>986</v>
      </c>
      <c r="G2426">
        <v>200000</v>
      </c>
      <c r="H2426" t="s">
        <v>153</v>
      </c>
      <c r="I2426" t="s">
        <v>64</v>
      </c>
    </row>
    <row r="2427" spans="1:9">
      <c r="A2427" s="49">
        <v>45788</v>
      </c>
      <c r="B2427" s="50">
        <v>0.5195949074074074</v>
      </c>
      <c r="C2427" t="s">
        <v>150</v>
      </c>
      <c r="D2427" t="s">
        <v>48</v>
      </c>
      <c r="E2427" t="s">
        <v>185</v>
      </c>
      <c r="F2427" t="s">
        <v>991</v>
      </c>
      <c r="G2427">
        <v>-6300</v>
      </c>
      <c r="H2427" t="s">
        <v>153</v>
      </c>
      <c r="I2427" t="s">
        <v>214</v>
      </c>
    </row>
    <row r="2428" spans="1:9">
      <c r="A2428" s="49">
        <v>45788</v>
      </c>
      <c r="B2428" s="50">
        <v>0.5173263888888889</v>
      </c>
      <c r="C2428" t="s">
        <v>150</v>
      </c>
      <c r="D2428" t="s">
        <v>40</v>
      </c>
      <c r="E2428" t="s">
        <v>223</v>
      </c>
      <c r="F2428" t="s">
        <v>992</v>
      </c>
      <c r="G2428">
        <v>-4900</v>
      </c>
      <c r="H2428" t="s">
        <v>153</v>
      </c>
      <c r="I2428" t="s">
        <v>214</v>
      </c>
    </row>
    <row r="2429" spans="1:9">
      <c r="A2429" s="49">
        <v>45788</v>
      </c>
      <c r="B2429" s="50">
        <v>0.4719791666666667</v>
      </c>
      <c r="C2429" t="s">
        <v>167</v>
      </c>
      <c r="D2429" t="s">
        <v>31</v>
      </c>
      <c r="E2429" t="s">
        <v>32</v>
      </c>
      <c r="F2429" t="s">
        <v>168</v>
      </c>
      <c r="G2429">
        <v>3000</v>
      </c>
      <c r="H2429" t="s">
        <v>153</v>
      </c>
      <c r="I2429" t="s">
        <v>64</v>
      </c>
    </row>
    <row r="2430" spans="1:9">
      <c r="A2430" s="49">
        <v>45788</v>
      </c>
      <c r="B2430" s="50">
        <v>0.4719675925925926</v>
      </c>
      <c r="C2430" t="s">
        <v>150</v>
      </c>
      <c r="D2430" t="s">
        <v>35</v>
      </c>
      <c r="E2430" t="s">
        <v>169</v>
      </c>
      <c r="F2430" t="s">
        <v>170</v>
      </c>
      <c r="G2430">
        <v>-2760</v>
      </c>
      <c r="H2430" t="s">
        <v>153</v>
      </c>
      <c r="I2430" t="s">
        <v>171</v>
      </c>
    </row>
    <row r="2431" spans="1:9">
      <c r="A2431" s="49">
        <v>45788</v>
      </c>
      <c r="B2431" s="50">
        <v>0.4685995370370371</v>
      </c>
      <c r="C2431" t="s">
        <v>150</v>
      </c>
      <c r="D2431" t="s">
        <v>39</v>
      </c>
      <c r="E2431" t="s">
        <v>621</v>
      </c>
      <c r="F2431" t="s">
        <v>710</v>
      </c>
      <c r="G2431">
        <v>-97600</v>
      </c>
      <c r="H2431" t="s">
        <v>153</v>
      </c>
      <c r="I2431" t="s">
        <v>164</v>
      </c>
    </row>
    <row r="2432" spans="1:9">
      <c r="A2432" s="49">
        <v>45788</v>
      </c>
      <c r="B2432" s="50">
        <v>0.4639351851851852</v>
      </c>
      <c r="C2432" t="s">
        <v>150</v>
      </c>
      <c r="D2432" t="s">
        <v>35</v>
      </c>
      <c r="E2432" t="s">
        <v>169</v>
      </c>
      <c r="F2432" t="s">
        <v>170</v>
      </c>
      <c r="G2432">
        <v>3000</v>
      </c>
      <c r="H2432" t="s">
        <v>153</v>
      </c>
      <c r="I2432" t="s">
        <v>171</v>
      </c>
    </row>
    <row r="2433" spans="1:9">
      <c r="A2433" s="49">
        <v>45788</v>
      </c>
      <c r="B2433" s="50">
        <v>0.4639236111111111</v>
      </c>
      <c r="C2433" t="s">
        <v>150</v>
      </c>
      <c r="D2433" t="s">
        <v>40</v>
      </c>
      <c r="E2433" t="s">
        <v>172</v>
      </c>
      <c r="F2433" t="s">
        <v>173</v>
      </c>
      <c r="G2433">
        <v>-3000</v>
      </c>
      <c r="H2433" t="s">
        <v>153</v>
      </c>
      <c r="I2433" t="s">
        <v>64</v>
      </c>
    </row>
    <row r="2434" spans="1:9">
      <c r="A2434" s="49">
        <v>45788</v>
      </c>
      <c r="B2434" s="50">
        <v>0.4474537037037037</v>
      </c>
      <c r="C2434" t="s">
        <v>155</v>
      </c>
      <c r="D2434" t="s">
        <v>155</v>
      </c>
      <c r="E2434" t="s">
        <v>32</v>
      </c>
      <c r="F2434" t="s">
        <v>653</v>
      </c>
      <c r="G2434">
        <v>300000</v>
      </c>
      <c r="H2434" t="s">
        <v>153</v>
      </c>
      <c r="I2434" t="s">
        <v>64</v>
      </c>
    </row>
    <row r="2435" spans="1:9">
      <c r="A2435" s="49">
        <v>45787</v>
      </c>
      <c r="B2435" s="50">
        <v>0.9700231481481482</v>
      </c>
      <c r="C2435" t="s">
        <v>155</v>
      </c>
      <c r="D2435" t="s">
        <v>155</v>
      </c>
      <c r="E2435" t="s">
        <v>32</v>
      </c>
      <c r="F2435" t="s">
        <v>993</v>
      </c>
      <c r="G2435">
        <v>490000</v>
      </c>
      <c r="H2435" t="s">
        <v>153</v>
      </c>
      <c r="I2435" t="s">
        <v>64</v>
      </c>
    </row>
    <row r="2436" spans="1:9">
      <c r="A2436" s="49">
        <v>45787</v>
      </c>
      <c r="B2436" s="50">
        <v>0.9022916666666667</v>
      </c>
      <c r="C2436" t="s">
        <v>155</v>
      </c>
      <c r="D2436" t="s">
        <v>155</v>
      </c>
      <c r="E2436" t="s">
        <v>32</v>
      </c>
      <c r="F2436" t="s">
        <v>994</v>
      </c>
      <c r="G2436">
        <v>700000</v>
      </c>
      <c r="H2436" t="s">
        <v>153</v>
      </c>
      <c r="I2436" t="s">
        <v>64</v>
      </c>
    </row>
    <row r="2437" spans="1:9">
      <c r="A2437" s="49">
        <v>45787</v>
      </c>
      <c r="B2437" s="50">
        <v>0.7761805555555555</v>
      </c>
      <c r="C2437" t="s">
        <v>167</v>
      </c>
      <c r="D2437" t="s">
        <v>31</v>
      </c>
      <c r="E2437" t="s">
        <v>32</v>
      </c>
      <c r="F2437" t="s">
        <v>168</v>
      </c>
      <c r="G2437">
        <v>3000</v>
      </c>
      <c r="H2437" t="s">
        <v>153</v>
      </c>
      <c r="I2437" t="s">
        <v>64</v>
      </c>
    </row>
    <row r="2438" spans="1:9">
      <c r="A2438" s="49">
        <v>45787</v>
      </c>
      <c r="B2438" s="50">
        <v>0.7761226851851852</v>
      </c>
      <c r="C2438" t="s">
        <v>150</v>
      </c>
      <c r="D2438" t="s">
        <v>35</v>
      </c>
      <c r="E2438" t="s">
        <v>169</v>
      </c>
      <c r="F2438" t="s">
        <v>170</v>
      </c>
      <c r="G2438">
        <v>-920</v>
      </c>
      <c r="H2438" t="s">
        <v>153</v>
      </c>
      <c r="I2438" t="s">
        <v>171</v>
      </c>
    </row>
    <row r="2439" spans="1:9">
      <c r="A2439" s="49">
        <v>45787</v>
      </c>
      <c r="B2439" s="50">
        <v>0.773425925925926</v>
      </c>
      <c r="C2439" t="s">
        <v>150</v>
      </c>
      <c r="D2439" t="s">
        <v>40</v>
      </c>
      <c r="E2439" t="s">
        <v>172</v>
      </c>
      <c r="F2439" t="s">
        <v>173</v>
      </c>
      <c r="G2439">
        <v>-3000</v>
      </c>
      <c r="H2439" t="s">
        <v>153</v>
      </c>
      <c r="I2439" t="s">
        <v>64</v>
      </c>
    </row>
    <row r="2440" spans="1:9">
      <c r="A2440" s="49">
        <v>45787</v>
      </c>
      <c r="B2440" s="50">
        <v>0.773425925925926</v>
      </c>
      <c r="C2440" t="s">
        <v>150</v>
      </c>
      <c r="D2440" t="s">
        <v>35</v>
      </c>
      <c r="E2440" t="s">
        <v>169</v>
      </c>
      <c r="F2440" t="s">
        <v>170</v>
      </c>
      <c r="G2440">
        <v>3000</v>
      </c>
      <c r="H2440" t="s">
        <v>153</v>
      </c>
      <c r="I2440" t="s">
        <v>171</v>
      </c>
    </row>
    <row r="2441" spans="1:9">
      <c r="A2441" s="49">
        <v>45787</v>
      </c>
      <c r="B2441" s="50">
        <v>0.7471875</v>
      </c>
      <c r="C2441" t="s">
        <v>155</v>
      </c>
      <c r="D2441" t="s">
        <v>155</v>
      </c>
      <c r="E2441" t="s">
        <v>32</v>
      </c>
      <c r="F2441" t="s">
        <v>257</v>
      </c>
      <c r="G2441">
        <v>300000</v>
      </c>
      <c r="H2441" t="s">
        <v>153</v>
      </c>
      <c r="I2441" t="s">
        <v>64</v>
      </c>
    </row>
    <row r="2442" spans="1:9">
      <c r="A2442" s="49">
        <v>45787</v>
      </c>
      <c r="B2442" s="50">
        <v>0.6125925925925926</v>
      </c>
      <c r="C2442" t="s">
        <v>150</v>
      </c>
      <c r="D2442" t="s">
        <v>48</v>
      </c>
      <c r="E2442" t="s">
        <v>185</v>
      </c>
      <c r="F2442" t="s">
        <v>995</v>
      </c>
      <c r="G2442">
        <v>-5000</v>
      </c>
      <c r="H2442" t="s">
        <v>153</v>
      </c>
      <c r="I2442" t="s">
        <v>214</v>
      </c>
    </row>
    <row r="2443" spans="1:9">
      <c r="A2443" s="49">
        <v>45787</v>
      </c>
      <c r="B2443" s="50">
        <v>0.5845138888888889</v>
      </c>
      <c r="C2443" t="s">
        <v>150</v>
      </c>
      <c r="D2443" t="s">
        <v>35</v>
      </c>
      <c r="E2443" t="s">
        <v>174</v>
      </c>
      <c r="F2443" t="s">
        <v>314</v>
      </c>
      <c r="G2443">
        <v>-20000</v>
      </c>
      <c r="H2443" t="s">
        <v>153</v>
      </c>
      <c r="I2443" t="s">
        <v>64</v>
      </c>
    </row>
    <row r="2444" spans="1:9">
      <c r="A2444" s="49">
        <v>45787</v>
      </c>
      <c r="B2444" s="50">
        <v>0.3434259259259259</v>
      </c>
      <c r="C2444" t="s">
        <v>155</v>
      </c>
      <c r="D2444" t="s">
        <v>155</v>
      </c>
      <c r="E2444" t="s">
        <v>32</v>
      </c>
      <c r="F2444" t="s">
        <v>996</v>
      </c>
      <c r="G2444">
        <v>490000</v>
      </c>
      <c r="H2444" t="s">
        <v>153</v>
      </c>
      <c r="I2444" t="s">
        <v>64</v>
      </c>
    </row>
    <row r="2445" spans="1:9">
      <c r="A2445" s="49">
        <v>45787</v>
      </c>
      <c r="B2445" s="50">
        <v>0.01708333333333333</v>
      </c>
      <c r="C2445" t="s">
        <v>155</v>
      </c>
      <c r="D2445" t="s">
        <v>155</v>
      </c>
      <c r="E2445" t="s">
        <v>32</v>
      </c>
      <c r="F2445" t="s">
        <v>997</v>
      </c>
      <c r="G2445">
        <v>300000</v>
      </c>
      <c r="H2445" t="s">
        <v>153</v>
      </c>
      <c r="I2445" t="s">
        <v>64</v>
      </c>
    </row>
    <row r="2446" spans="1:9">
      <c r="A2446" s="49">
        <v>45786</v>
      </c>
      <c r="B2446" s="50">
        <v>0.9953240740740741</v>
      </c>
      <c r="C2446" t="s">
        <v>155</v>
      </c>
      <c r="D2446" t="s">
        <v>155</v>
      </c>
      <c r="E2446" t="s">
        <v>32</v>
      </c>
      <c r="F2446" t="s">
        <v>998</v>
      </c>
      <c r="G2446">
        <v>490000</v>
      </c>
      <c r="H2446" t="s">
        <v>153</v>
      </c>
      <c r="I2446" t="s">
        <v>64</v>
      </c>
    </row>
    <row r="2447" spans="1:9">
      <c r="A2447" s="49">
        <v>45786</v>
      </c>
      <c r="B2447" s="50">
        <v>0.9729976851851851</v>
      </c>
      <c r="C2447" t="s">
        <v>155</v>
      </c>
      <c r="D2447" t="s">
        <v>155</v>
      </c>
      <c r="E2447" t="s">
        <v>32</v>
      </c>
      <c r="F2447" t="s">
        <v>999</v>
      </c>
      <c r="G2447">
        <v>490000</v>
      </c>
      <c r="H2447" t="s">
        <v>153</v>
      </c>
      <c r="I2447" t="s">
        <v>64</v>
      </c>
    </row>
    <row r="2448" spans="1:9">
      <c r="A2448" s="49">
        <v>45786</v>
      </c>
      <c r="B2448" s="50">
        <v>0.9680324074074074</v>
      </c>
      <c r="C2448" t="s">
        <v>155</v>
      </c>
      <c r="D2448" t="s">
        <v>155</v>
      </c>
      <c r="E2448" t="s">
        <v>32</v>
      </c>
      <c r="F2448" t="s">
        <v>1000</v>
      </c>
      <c r="G2448">
        <v>490000</v>
      </c>
      <c r="H2448" t="s">
        <v>153</v>
      </c>
      <c r="I2448" t="s">
        <v>64</v>
      </c>
    </row>
    <row r="2449" spans="1:9">
      <c r="A2449" s="49">
        <v>45786</v>
      </c>
      <c r="B2449" s="50">
        <v>0.9319328703703704</v>
      </c>
      <c r="C2449" t="s">
        <v>150</v>
      </c>
      <c r="D2449" t="s">
        <v>40</v>
      </c>
      <c r="E2449" t="s">
        <v>172</v>
      </c>
      <c r="F2449" t="s">
        <v>1001</v>
      </c>
      <c r="G2449">
        <v>-5700</v>
      </c>
      <c r="H2449" t="s">
        <v>153</v>
      </c>
      <c r="I2449" t="s">
        <v>214</v>
      </c>
    </row>
    <row r="2450" spans="1:9">
      <c r="A2450" s="49">
        <v>45786</v>
      </c>
      <c r="B2450" s="50">
        <v>0.8120949074074074</v>
      </c>
      <c r="C2450" t="s">
        <v>155</v>
      </c>
      <c r="D2450" t="s">
        <v>155</v>
      </c>
      <c r="E2450" t="s">
        <v>32</v>
      </c>
      <c r="F2450" t="s">
        <v>434</v>
      </c>
      <c r="G2450">
        <v>490000</v>
      </c>
      <c r="H2450" t="s">
        <v>153</v>
      </c>
      <c r="I2450" t="s">
        <v>64</v>
      </c>
    </row>
    <row r="2451" spans="1:9">
      <c r="A2451" s="49">
        <v>45786</v>
      </c>
      <c r="B2451" s="50">
        <v>0.7494560185185185</v>
      </c>
      <c r="C2451" t="s">
        <v>150</v>
      </c>
      <c r="D2451" t="s">
        <v>42</v>
      </c>
      <c r="E2451" t="s">
        <v>177</v>
      </c>
      <c r="F2451" t="s">
        <v>1002</v>
      </c>
      <c r="G2451">
        <v>-26000</v>
      </c>
      <c r="H2451" t="s">
        <v>153</v>
      </c>
      <c r="I2451" t="s">
        <v>214</v>
      </c>
    </row>
    <row r="2452" spans="1:9">
      <c r="A2452" s="49">
        <v>45786</v>
      </c>
      <c r="B2452" s="50">
        <v>0.7047916666666667</v>
      </c>
      <c r="C2452" t="s">
        <v>155</v>
      </c>
      <c r="D2452" t="s">
        <v>155</v>
      </c>
      <c r="E2452" t="s">
        <v>32</v>
      </c>
      <c r="F2452" t="s">
        <v>1003</v>
      </c>
      <c r="G2452">
        <v>300000</v>
      </c>
      <c r="H2452" t="s">
        <v>153</v>
      </c>
      <c r="I2452" t="s">
        <v>64</v>
      </c>
    </row>
    <row r="2453" spans="1:9">
      <c r="A2453" s="49">
        <v>45786</v>
      </c>
      <c r="B2453" s="50">
        <v>0.6782060185185185</v>
      </c>
      <c r="C2453" t="s">
        <v>155</v>
      </c>
      <c r="D2453" t="s">
        <v>155</v>
      </c>
      <c r="E2453" t="s">
        <v>32</v>
      </c>
      <c r="F2453" t="s">
        <v>1004</v>
      </c>
      <c r="G2453">
        <v>190000</v>
      </c>
      <c r="H2453" t="s">
        <v>153</v>
      </c>
      <c r="I2453" t="s">
        <v>64</v>
      </c>
    </row>
    <row r="2454" spans="1:9">
      <c r="A2454" s="49">
        <v>45786</v>
      </c>
      <c r="B2454" s="50">
        <v>0.6634953703703703</v>
      </c>
      <c r="C2454" t="s">
        <v>155</v>
      </c>
      <c r="D2454" t="s">
        <v>155</v>
      </c>
      <c r="E2454" t="s">
        <v>32</v>
      </c>
      <c r="F2454" t="s">
        <v>160</v>
      </c>
      <c r="G2454">
        <v>-180000</v>
      </c>
      <c r="H2454" t="s">
        <v>153</v>
      </c>
      <c r="I2454" t="s">
        <v>64</v>
      </c>
    </row>
    <row r="2455" spans="1:9">
      <c r="A2455" s="49">
        <v>45786</v>
      </c>
      <c r="B2455" s="50">
        <v>0.6440277777777778</v>
      </c>
      <c r="C2455" t="s">
        <v>155</v>
      </c>
      <c r="D2455" t="s">
        <v>155</v>
      </c>
      <c r="E2455" t="s">
        <v>32</v>
      </c>
      <c r="F2455" t="s">
        <v>1005</v>
      </c>
      <c r="G2455">
        <v>490000</v>
      </c>
      <c r="H2455" t="s">
        <v>153</v>
      </c>
      <c r="I2455" t="s">
        <v>64</v>
      </c>
    </row>
    <row r="2456" spans="1:9">
      <c r="A2456" s="49">
        <v>45786</v>
      </c>
      <c r="B2456" s="50">
        <v>0.6104050925925926</v>
      </c>
      <c r="C2456" t="s">
        <v>150</v>
      </c>
      <c r="D2456" t="s">
        <v>48</v>
      </c>
      <c r="E2456" t="s">
        <v>185</v>
      </c>
      <c r="F2456" t="s">
        <v>1006</v>
      </c>
      <c r="G2456">
        <v>-4600</v>
      </c>
      <c r="H2456" t="s">
        <v>153</v>
      </c>
      <c r="I2456" t="s">
        <v>214</v>
      </c>
    </row>
    <row r="2457" spans="1:9">
      <c r="A2457" s="49">
        <v>45786</v>
      </c>
      <c r="B2457" s="50">
        <v>0.3665046296296297</v>
      </c>
      <c r="C2457" t="s">
        <v>155</v>
      </c>
      <c r="D2457" t="s">
        <v>155</v>
      </c>
      <c r="E2457" t="s">
        <v>32</v>
      </c>
      <c r="F2457" t="s">
        <v>1007</v>
      </c>
      <c r="G2457">
        <v>300000</v>
      </c>
      <c r="H2457" t="s">
        <v>153</v>
      </c>
      <c r="I2457" t="s">
        <v>64</v>
      </c>
    </row>
    <row r="2458" spans="1:9">
      <c r="A2458" s="49">
        <v>45786</v>
      </c>
      <c r="B2458" s="50">
        <v>0.3375578703703704</v>
      </c>
      <c r="C2458" t="s">
        <v>155</v>
      </c>
      <c r="D2458" t="s">
        <v>155</v>
      </c>
      <c r="E2458" t="s">
        <v>32</v>
      </c>
      <c r="F2458" t="s">
        <v>1008</v>
      </c>
      <c r="G2458">
        <v>490000</v>
      </c>
      <c r="H2458" t="s">
        <v>153</v>
      </c>
      <c r="I2458" t="s">
        <v>64</v>
      </c>
    </row>
    <row r="2459" spans="1:9">
      <c r="A2459" s="49">
        <v>45786</v>
      </c>
      <c r="B2459" s="50">
        <v>0.04773148148148148</v>
      </c>
      <c r="C2459" t="s">
        <v>155</v>
      </c>
      <c r="D2459" t="s">
        <v>155</v>
      </c>
      <c r="E2459" t="s">
        <v>32</v>
      </c>
      <c r="F2459" t="s">
        <v>1009</v>
      </c>
      <c r="G2459">
        <v>300000</v>
      </c>
      <c r="H2459" t="s">
        <v>153</v>
      </c>
      <c r="I2459" t="s">
        <v>64</v>
      </c>
    </row>
    <row r="2460" spans="1:9">
      <c r="A2460" s="49">
        <v>45785</v>
      </c>
      <c r="B2460" s="50">
        <v>0.9949421296296296</v>
      </c>
      <c r="C2460" t="s">
        <v>155</v>
      </c>
      <c r="D2460" t="s">
        <v>155</v>
      </c>
      <c r="E2460" t="s">
        <v>32</v>
      </c>
      <c r="F2460" t="s">
        <v>1010</v>
      </c>
      <c r="G2460">
        <v>300000</v>
      </c>
      <c r="H2460" t="s">
        <v>153</v>
      </c>
      <c r="I2460" t="s">
        <v>64</v>
      </c>
    </row>
    <row r="2461" spans="1:9">
      <c r="A2461" s="49">
        <v>45785</v>
      </c>
      <c r="B2461" s="50">
        <v>0.9692708333333333</v>
      </c>
      <c r="C2461" t="s">
        <v>155</v>
      </c>
      <c r="D2461" t="s">
        <v>155</v>
      </c>
      <c r="E2461" t="s">
        <v>32</v>
      </c>
      <c r="F2461" t="s">
        <v>1011</v>
      </c>
      <c r="G2461">
        <v>300000</v>
      </c>
      <c r="H2461" t="s">
        <v>153</v>
      </c>
      <c r="I2461" t="s">
        <v>64</v>
      </c>
    </row>
    <row r="2462" spans="1:9">
      <c r="A2462" s="49">
        <v>45785</v>
      </c>
      <c r="B2462" s="50">
        <v>0.9586226851851852</v>
      </c>
      <c r="C2462" t="s">
        <v>155</v>
      </c>
      <c r="D2462" t="s">
        <v>155</v>
      </c>
      <c r="E2462" t="s">
        <v>32</v>
      </c>
      <c r="F2462" t="s">
        <v>1012</v>
      </c>
      <c r="G2462">
        <v>510000</v>
      </c>
      <c r="H2462" t="s">
        <v>153</v>
      </c>
      <c r="I2462" t="s">
        <v>64</v>
      </c>
    </row>
    <row r="2463" spans="1:9">
      <c r="A2463" s="49">
        <v>45785</v>
      </c>
      <c r="B2463" s="50">
        <v>0.9465740740740741</v>
      </c>
      <c r="C2463" t="s">
        <v>155</v>
      </c>
      <c r="D2463" t="s">
        <v>155</v>
      </c>
      <c r="E2463" t="s">
        <v>32</v>
      </c>
      <c r="F2463" t="s">
        <v>1013</v>
      </c>
      <c r="G2463">
        <v>510000</v>
      </c>
      <c r="H2463" t="s">
        <v>153</v>
      </c>
      <c r="I2463" t="s">
        <v>64</v>
      </c>
    </row>
    <row r="2464" spans="1:9">
      <c r="A2464" s="49">
        <v>45785</v>
      </c>
      <c r="B2464" s="50">
        <v>0.9183796296296296</v>
      </c>
      <c r="C2464" t="s">
        <v>155</v>
      </c>
      <c r="D2464" t="s">
        <v>155</v>
      </c>
      <c r="E2464" t="s">
        <v>32</v>
      </c>
      <c r="F2464" t="s">
        <v>1004</v>
      </c>
      <c r="G2464">
        <v>510000</v>
      </c>
      <c r="H2464" t="s">
        <v>153</v>
      </c>
      <c r="I2464" t="s">
        <v>64</v>
      </c>
    </row>
    <row r="2465" spans="1:9">
      <c r="A2465" s="49">
        <v>45785</v>
      </c>
      <c r="B2465" s="50">
        <v>0.7966550925925926</v>
      </c>
      <c r="C2465" t="s">
        <v>155</v>
      </c>
      <c r="D2465" t="s">
        <v>155</v>
      </c>
      <c r="E2465" t="s">
        <v>32</v>
      </c>
      <c r="F2465" t="s">
        <v>1014</v>
      </c>
      <c r="G2465">
        <v>510000</v>
      </c>
      <c r="H2465" t="s">
        <v>153</v>
      </c>
      <c r="I2465" t="s">
        <v>64</v>
      </c>
    </row>
    <row r="2466" spans="1:9">
      <c r="A2466" s="49">
        <v>45785</v>
      </c>
      <c r="B2466" s="50">
        <v>0.7550578703703704</v>
      </c>
      <c r="C2466" t="s">
        <v>155</v>
      </c>
      <c r="D2466" t="s">
        <v>155</v>
      </c>
      <c r="E2466" t="s">
        <v>32</v>
      </c>
      <c r="F2466" t="s">
        <v>246</v>
      </c>
      <c r="G2466">
        <v>118000</v>
      </c>
      <c r="H2466" t="s">
        <v>153</v>
      </c>
      <c r="I2466" t="s">
        <v>64</v>
      </c>
    </row>
    <row r="2467" spans="1:9">
      <c r="A2467" s="49">
        <v>45785</v>
      </c>
      <c r="B2467" s="50">
        <v>0.7508564814814814</v>
      </c>
      <c r="C2467" t="s">
        <v>155</v>
      </c>
      <c r="D2467" t="s">
        <v>155</v>
      </c>
      <c r="E2467" t="s">
        <v>32</v>
      </c>
      <c r="F2467" t="s">
        <v>1015</v>
      </c>
      <c r="G2467">
        <v>300000</v>
      </c>
      <c r="H2467" t="s">
        <v>153</v>
      </c>
      <c r="I2467" t="s">
        <v>64</v>
      </c>
    </row>
    <row r="2468" spans="1:9">
      <c r="A2468" s="49">
        <v>45785</v>
      </c>
      <c r="B2468" s="50">
        <v>0.7437268518518518</v>
      </c>
      <c r="C2468" t="s">
        <v>155</v>
      </c>
      <c r="D2468" t="s">
        <v>155</v>
      </c>
      <c r="E2468" t="s">
        <v>32</v>
      </c>
      <c r="F2468" t="s">
        <v>246</v>
      </c>
      <c r="G2468">
        <v>-118000</v>
      </c>
      <c r="H2468" t="s">
        <v>153</v>
      </c>
      <c r="I2468" t="s">
        <v>64</v>
      </c>
    </row>
    <row r="2469" spans="1:9">
      <c r="A2469" s="49">
        <v>45785</v>
      </c>
      <c r="B2469" s="50">
        <v>0.7327662037037037</v>
      </c>
      <c r="C2469" t="s">
        <v>155</v>
      </c>
      <c r="D2469" t="s">
        <v>155</v>
      </c>
      <c r="E2469" t="s">
        <v>32</v>
      </c>
      <c r="F2469" t="s">
        <v>1016</v>
      </c>
      <c r="G2469">
        <v>300000</v>
      </c>
      <c r="H2469" t="s">
        <v>153</v>
      </c>
      <c r="I2469" t="s">
        <v>64</v>
      </c>
    </row>
    <row r="2470" spans="1:9">
      <c r="A2470" s="49">
        <v>45785</v>
      </c>
      <c r="B2470" s="50">
        <v>0.7268055555555556</v>
      </c>
      <c r="C2470" t="s">
        <v>155</v>
      </c>
      <c r="D2470" t="s">
        <v>155</v>
      </c>
      <c r="E2470" t="s">
        <v>32</v>
      </c>
      <c r="F2470" t="s">
        <v>1003</v>
      </c>
      <c r="G2470">
        <v>300000</v>
      </c>
      <c r="H2470" t="s">
        <v>153</v>
      </c>
      <c r="I2470" t="s">
        <v>64</v>
      </c>
    </row>
    <row r="2471" spans="1:9">
      <c r="A2471" s="49">
        <v>45785</v>
      </c>
      <c r="B2471" s="50">
        <v>0.5710300925925926</v>
      </c>
      <c r="C2471" t="s">
        <v>167</v>
      </c>
      <c r="D2471" t="s">
        <v>31</v>
      </c>
      <c r="E2471" t="s">
        <v>32</v>
      </c>
      <c r="F2471" t="s">
        <v>1017</v>
      </c>
      <c r="G2471">
        <v>510000</v>
      </c>
      <c r="H2471" t="s">
        <v>153</v>
      </c>
      <c r="I2471" t="s">
        <v>64</v>
      </c>
    </row>
    <row r="2472" spans="1:9">
      <c r="A2472" s="49">
        <v>45785</v>
      </c>
      <c r="B2472" s="50">
        <v>0.5526504629629629</v>
      </c>
      <c r="C2472" t="s">
        <v>155</v>
      </c>
      <c r="D2472" t="s">
        <v>155</v>
      </c>
      <c r="E2472" t="s">
        <v>32</v>
      </c>
      <c r="F2472" t="s">
        <v>1018</v>
      </c>
      <c r="G2472">
        <v>300000</v>
      </c>
      <c r="H2472" t="s">
        <v>153</v>
      </c>
      <c r="I2472" t="s">
        <v>64</v>
      </c>
    </row>
    <row r="2473" spans="1:9">
      <c r="A2473" s="49">
        <v>45785</v>
      </c>
      <c r="B2473" s="50">
        <v>0.07273148148148148</v>
      </c>
      <c r="C2473" t="s">
        <v>155</v>
      </c>
      <c r="D2473" t="s">
        <v>155</v>
      </c>
      <c r="E2473" t="s">
        <v>32</v>
      </c>
      <c r="F2473" t="s">
        <v>1019</v>
      </c>
      <c r="G2473">
        <v>300000</v>
      </c>
      <c r="H2473" t="s">
        <v>153</v>
      </c>
      <c r="I2473" t="s">
        <v>64</v>
      </c>
    </row>
    <row r="2474" spans="1:9">
      <c r="A2474" s="49">
        <v>45784</v>
      </c>
      <c r="B2474" s="50">
        <v>0.9372106481481481</v>
      </c>
      <c r="C2474" t="s">
        <v>155</v>
      </c>
      <c r="D2474" t="s">
        <v>155</v>
      </c>
      <c r="E2474" t="s">
        <v>32</v>
      </c>
      <c r="F2474" t="s">
        <v>1020</v>
      </c>
      <c r="G2474">
        <v>510000</v>
      </c>
      <c r="H2474" t="s">
        <v>153</v>
      </c>
      <c r="I2474" t="s">
        <v>64</v>
      </c>
    </row>
    <row r="2475" spans="1:9">
      <c r="A2475" s="49">
        <v>45784</v>
      </c>
      <c r="B2475" s="50">
        <v>0.8721296296296296</v>
      </c>
      <c r="C2475" t="s">
        <v>155</v>
      </c>
      <c r="D2475" t="s">
        <v>155</v>
      </c>
      <c r="E2475" t="s">
        <v>32</v>
      </c>
      <c r="F2475" t="s">
        <v>1021</v>
      </c>
      <c r="G2475">
        <v>300000</v>
      </c>
      <c r="H2475" t="s">
        <v>153</v>
      </c>
      <c r="I2475" t="s">
        <v>64</v>
      </c>
    </row>
    <row r="2476" spans="1:9">
      <c r="A2476" s="49">
        <v>45784</v>
      </c>
      <c r="B2476" s="50">
        <v>0.7961226851851851</v>
      </c>
      <c r="C2476" t="s">
        <v>155</v>
      </c>
      <c r="D2476" t="s">
        <v>155</v>
      </c>
      <c r="E2476" t="s">
        <v>32</v>
      </c>
      <c r="F2476" t="s">
        <v>1022</v>
      </c>
      <c r="G2476">
        <v>300000</v>
      </c>
      <c r="H2476" t="s">
        <v>153</v>
      </c>
      <c r="I2476" t="s">
        <v>64</v>
      </c>
    </row>
    <row r="2477" spans="1:9">
      <c r="A2477" s="49">
        <v>45784</v>
      </c>
      <c r="B2477" s="50">
        <v>0.5783217592592592</v>
      </c>
      <c r="C2477" t="s">
        <v>155</v>
      </c>
      <c r="D2477" t="s">
        <v>155</v>
      </c>
      <c r="E2477" t="s">
        <v>32</v>
      </c>
      <c r="F2477" t="s">
        <v>684</v>
      </c>
      <c r="G2477">
        <v>510000</v>
      </c>
      <c r="H2477" t="s">
        <v>153</v>
      </c>
      <c r="I2477" t="s">
        <v>64</v>
      </c>
    </row>
    <row r="2478" spans="1:9">
      <c r="A2478" s="49">
        <v>45784</v>
      </c>
      <c r="B2478" s="50">
        <v>0.4869212962962963</v>
      </c>
      <c r="C2478" t="s">
        <v>155</v>
      </c>
      <c r="D2478" t="s">
        <v>155</v>
      </c>
      <c r="E2478" t="s">
        <v>32</v>
      </c>
      <c r="F2478" t="s">
        <v>246</v>
      </c>
      <c r="G2478">
        <v>-36900</v>
      </c>
      <c r="H2478" t="s">
        <v>153</v>
      </c>
      <c r="I2478" t="s">
        <v>64</v>
      </c>
    </row>
    <row r="2479" spans="1:9">
      <c r="A2479" s="49">
        <v>45784</v>
      </c>
      <c r="B2479" s="50">
        <v>0.1457407407407408</v>
      </c>
      <c r="C2479" t="s">
        <v>150</v>
      </c>
      <c r="D2479" t="s">
        <v>36</v>
      </c>
      <c r="E2479" t="s">
        <v>191</v>
      </c>
      <c r="F2479" t="s">
        <v>192</v>
      </c>
      <c r="G2479">
        <v>-150000</v>
      </c>
      <c r="H2479" t="s">
        <v>153</v>
      </c>
      <c r="I2479" t="s">
        <v>157</v>
      </c>
    </row>
    <row r="2480" spans="1:9">
      <c r="A2480" s="49">
        <v>45784</v>
      </c>
      <c r="B2480" s="50">
        <v>0.1457291666666667</v>
      </c>
      <c r="C2480" t="s">
        <v>155</v>
      </c>
      <c r="D2480" t="s">
        <v>158</v>
      </c>
      <c r="E2480" t="s">
        <v>32</v>
      </c>
      <c r="F2480" t="s">
        <v>159</v>
      </c>
      <c r="G2480">
        <v>141408</v>
      </c>
      <c r="H2480" t="s">
        <v>153</v>
      </c>
      <c r="I2480" t="s">
        <v>157</v>
      </c>
    </row>
    <row r="2481" spans="1:9">
      <c r="A2481" s="49">
        <v>45784</v>
      </c>
      <c r="B2481" s="50">
        <v>0.1457291666666667</v>
      </c>
      <c r="C2481" t="s">
        <v>155</v>
      </c>
      <c r="D2481" t="s">
        <v>158</v>
      </c>
      <c r="E2481" t="s">
        <v>32</v>
      </c>
      <c r="F2481" t="s">
        <v>160</v>
      </c>
      <c r="G2481">
        <v>-141408</v>
      </c>
      <c r="H2481" t="s">
        <v>153</v>
      </c>
      <c r="I2481" t="s">
        <v>64</v>
      </c>
    </row>
    <row r="2482" spans="1:9">
      <c r="A2482" s="49">
        <v>45783</v>
      </c>
      <c r="B2482" s="50">
        <v>0.9188773148148148</v>
      </c>
      <c r="C2482" t="s">
        <v>150</v>
      </c>
      <c r="D2482" t="s">
        <v>35</v>
      </c>
      <c r="E2482" t="s">
        <v>169</v>
      </c>
      <c r="F2482" t="s">
        <v>739</v>
      </c>
      <c r="G2482">
        <v>-1408</v>
      </c>
      <c r="H2482" t="s">
        <v>153</v>
      </c>
      <c r="I2482" t="s">
        <v>164</v>
      </c>
    </row>
    <row r="2483" spans="1:9">
      <c r="A2483" s="49">
        <v>45783</v>
      </c>
      <c r="B2483" s="50">
        <v>0.9188773148148148</v>
      </c>
      <c r="C2483" t="s">
        <v>155</v>
      </c>
      <c r="D2483" t="s">
        <v>158</v>
      </c>
      <c r="E2483" t="s">
        <v>32</v>
      </c>
      <c r="F2483" t="s">
        <v>159</v>
      </c>
      <c r="G2483">
        <v>10000</v>
      </c>
      <c r="H2483" t="s">
        <v>153</v>
      </c>
      <c r="I2483" t="s">
        <v>157</v>
      </c>
    </row>
    <row r="2484" spans="1:9">
      <c r="A2484" s="49">
        <v>45783</v>
      </c>
      <c r="B2484" s="50">
        <v>0.9188773148148148</v>
      </c>
      <c r="C2484" t="s">
        <v>155</v>
      </c>
      <c r="D2484" t="s">
        <v>158</v>
      </c>
      <c r="E2484" t="s">
        <v>32</v>
      </c>
      <c r="F2484" t="s">
        <v>160</v>
      </c>
      <c r="G2484">
        <v>-10000</v>
      </c>
      <c r="H2484" t="s">
        <v>153</v>
      </c>
      <c r="I2484" t="s">
        <v>64</v>
      </c>
    </row>
    <row r="2485" spans="1:9">
      <c r="A2485" s="49">
        <v>45783</v>
      </c>
      <c r="B2485" s="50">
        <v>0.6445601851851852</v>
      </c>
      <c r="C2485" t="s">
        <v>150</v>
      </c>
      <c r="D2485" t="s">
        <v>37</v>
      </c>
      <c r="E2485" t="s">
        <v>401</v>
      </c>
      <c r="F2485" t="s">
        <v>1023</v>
      </c>
      <c r="G2485">
        <v>-6000</v>
      </c>
      <c r="H2485" t="s">
        <v>153</v>
      </c>
      <c r="I2485" t="s">
        <v>214</v>
      </c>
    </row>
    <row r="2486" spans="1:9">
      <c r="A2486" s="49">
        <v>45783</v>
      </c>
      <c r="B2486" s="50">
        <v>0.6268402777777777</v>
      </c>
      <c r="C2486" t="s">
        <v>150</v>
      </c>
      <c r="D2486" t="s">
        <v>42</v>
      </c>
      <c r="E2486" t="s">
        <v>1024</v>
      </c>
      <c r="F2486" t="s">
        <v>1025</v>
      </c>
      <c r="G2486">
        <v>-32000</v>
      </c>
      <c r="H2486" t="s">
        <v>153</v>
      </c>
      <c r="I2486" t="s">
        <v>214</v>
      </c>
    </row>
    <row r="2487" spans="1:9">
      <c r="A2487" s="49">
        <v>45783</v>
      </c>
      <c r="B2487" s="50">
        <v>0.5076273148148148</v>
      </c>
      <c r="C2487" t="s">
        <v>155</v>
      </c>
      <c r="D2487" t="s">
        <v>155</v>
      </c>
      <c r="E2487" t="s">
        <v>32</v>
      </c>
      <c r="F2487" t="s">
        <v>1026</v>
      </c>
      <c r="G2487">
        <v>300000</v>
      </c>
      <c r="H2487" t="s">
        <v>153</v>
      </c>
      <c r="I2487" t="s">
        <v>64</v>
      </c>
    </row>
    <row r="2488" spans="1:9">
      <c r="A2488" s="49">
        <v>45782</v>
      </c>
      <c r="B2488" s="50">
        <v>0.905775462962963</v>
      </c>
      <c r="C2488" t="s">
        <v>155</v>
      </c>
      <c r="D2488" t="s">
        <v>155</v>
      </c>
      <c r="E2488" t="s">
        <v>32</v>
      </c>
      <c r="F2488" t="s">
        <v>1027</v>
      </c>
      <c r="G2488">
        <v>300000</v>
      </c>
      <c r="H2488" t="s">
        <v>153</v>
      </c>
      <c r="I2488" t="s">
        <v>64</v>
      </c>
    </row>
    <row r="2489" spans="1:9">
      <c r="A2489" s="49">
        <v>45782</v>
      </c>
      <c r="B2489" s="50">
        <v>0.84375</v>
      </c>
      <c r="C2489" t="s">
        <v>150</v>
      </c>
      <c r="D2489" t="s">
        <v>35</v>
      </c>
      <c r="E2489" t="s">
        <v>169</v>
      </c>
      <c r="F2489" t="s">
        <v>170</v>
      </c>
      <c r="G2489">
        <v>-1150</v>
      </c>
      <c r="H2489" t="s">
        <v>153</v>
      </c>
      <c r="I2489" t="s">
        <v>171</v>
      </c>
    </row>
    <row r="2490" spans="1:9">
      <c r="A2490" s="49">
        <v>45782</v>
      </c>
      <c r="B2490" s="50">
        <v>0.84375</v>
      </c>
      <c r="C2490" t="s">
        <v>167</v>
      </c>
      <c r="D2490" t="s">
        <v>31</v>
      </c>
      <c r="E2490" t="s">
        <v>32</v>
      </c>
      <c r="F2490" t="s">
        <v>168</v>
      </c>
      <c r="G2490">
        <v>3000</v>
      </c>
      <c r="H2490" t="s">
        <v>153</v>
      </c>
      <c r="I2490" t="s">
        <v>64</v>
      </c>
    </row>
    <row r="2491" spans="1:9">
      <c r="A2491" s="49">
        <v>45782</v>
      </c>
      <c r="B2491" s="50">
        <v>0.8407870370370371</v>
      </c>
      <c r="C2491" t="s">
        <v>150</v>
      </c>
      <c r="D2491" t="s">
        <v>35</v>
      </c>
      <c r="E2491" t="s">
        <v>169</v>
      </c>
      <c r="F2491" t="s">
        <v>170</v>
      </c>
      <c r="G2491">
        <v>3000</v>
      </c>
      <c r="H2491" t="s">
        <v>153</v>
      </c>
      <c r="I2491" t="s">
        <v>171</v>
      </c>
    </row>
    <row r="2492" spans="1:9">
      <c r="A2492" s="49">
        <v>45782</v>
      </c>
      <c r="B2492" s="50">
        <v>0.840775462962963</v>
      </c>
      <c r="C2492" t="s">
        <v>150</v>
      </c>
      <c r="D2492" t="s">
        <v>40</v>
      </c>
      <c r="E2492" t="s">
        <v>172</v>
      </c>
      <c r="F2492" t="s">
        <v>173</v>
      </c>
      <c r="G2492">
        <v>-3000</v>
      </c>
      <c r="H2492" t="s">
        <v>153</v>
      </c>
      <c r="I2492" t="s">
        <v>64</v>
      </c>
    </row>
    <row r="2493" spans="1:9">
      <c r="A2493" s="49">
        <v>45782</v>
      </c>
      <c r="B2493" s="50">
        <v>0.6733217592592593</v>
      </c>
      <c r="C2493" t="s">
        <v>155</v>
      </c>
      <c r="D2493" t="s">
        <v>155</v>
      </c>
      <c r="E2493" t="s">
        <v>32</v>
      </c>
      <c r="F2493" t="s">
        <v>1028</v>
      </c>
      <c r="G2493">
        <v>300000</v>
      </c>
      <c r="H2493" t="s">
        <v>153</v>
      </c>
      <c r="I2493" t="s">
        <v>64</v>
      </c>
    </row>
    <row r="2494" spans="1:9">
      <c r="A2494" s="49">
        <v>45782</v>
      </c>
      <c r="B2494" s="50">
        <v>0.6533680555555555</v>
      </c>
      <c r="C2494" t="s">
        <v>150</v>
      </c>
      <c r="D2494" t="s">
        <v>36</v>
      </c>
      <c r="E2494" t="s">
        <v>191</v>
      </c>
      <c r="F2494" t="s">
        <v>192</v>
      </c>
      <c r="G2494">
        <v>-50000</v>
      </c>
      <c r="H2494" t="s">
        <v>153</v>
      </c>
      <c r="I2494" t="s">
        <v>157</v>
      </c>
    </row>
    <row r="2495" spans="1:9">
      <c r="A2495" s="49">
        <v>45782</v>
      </c>
      <c r="B2495" s="50">
        <v>0.6533680555555555</v>
      </c>
      <c r="C2495" t="s">
        <v>155</v>
      </c>
      <c r="D2495" t="s">
        <v>158</v>
      </c>
      <c r="E2495" t="s">
        <v>32</v>
      </c>
      <c r="F2495" t="s">
        <v>160</v>
      </c>
      <c r="G2495">
        <v>-43299</v>
      </c>
      <c r="H2495" t="s">
        <v>153</v>
      </c>
      <c r="I2495" t="s">
        <v>64</v>
      </c>
    </row>
    <row r="2496" spans="1:9">
      <c r="A2496" s="49">
        <v>45782</v>
      </c>
      <c r="B2496" s="50">
        <v>0.6533564814814815</v>
      </c>
      <c r="C2496" t="s">
        <v>155</v>
      </c>
      <c r="D2496" t="s">
        <v>158</v>
      </c>
      <c r="E2496" t="s">
        <v>32</v>
      </c>
      <c r="F2496" t="s">
        <v>159</v>
      </c>
      <c r="G2496">
        <v>43299</v>
      </c>
      <c r="H2496" t="s">
        <v>153</v>
      </c>
      <c r="I2496" t="s">
        <v>157</v>
      </c>
    </row>
    <row r="2497" spans="1:9">
      <c r="A2497" s="49">
        <v>45782</v>
      </c>
      <c r="B2497" s="50">
        <v>0.2517824074074074</v>
      </c>
      <c r="C2497" t="s">
        <v>150</v>
      </c>
      <c r="D2497" t="s">
        <v>35</v>
      </c>
      <c r="E2497" t="s">
        <v>169</v>
      </c>
      <c r="F2497" t="s">
        <v>1029</v>
      </c>
      <c r="G2497">
        <v>-21900</v>
      </c>
      <c r="H2497" t="s">
        <v>153</v>
      </c>
      <c r="I2497" t="s">
        <v>214</v>
      </c>
    </row>
    <row r="2498" spans="1:9">
      <c r="A2498" s="49">
        <v>45782</v>
      </c>
      <c r="B2498" s="50">
        <v>0.2517824074074074</v>
      </c>
      <c r="C2498" t="s">
        <v>150</v>
      </c>
      <c r="D2498" t="s">
        <v>35</v>
      </c>
      <c r="E2498" t="s">
        <v>482</v>
      </c>
      <c r="F2498" t="s">
        <v>1030</v>
      </c>
      <c r="G2498">
        <v>-42600</v>
      </c>
      <c r="H2498" t="s">
        <v>153</v>
      </c>
      <c r="I2498" t="s">
        <v>214</v>
      </c>
    </row>
    <row r="2499" spans="1:9">
      <c r="A2499" s="49">
        <v>45782</v>
      </c>
      <c r="B2499" s="50">
        <v>0.04890046296296297</v>
      </c>
      <c r="C2499" t="s">
        <v>155</v>
      </c>
      <c r="D2499" t="s">
        <v>155</v>
      </c>
      <c r="E2499" t="s">
        <v>32</v>
      </c>
      <c r="F2499" t="s">
        <v>1031</v>
      </c>
      <c r="G2499">
        <v>300000</v>
      </c>
      <c r="H2499" t="s">
        <v>153</v>
      </c>
      <c r="I2499" t="s">
        <v>64</v>
      </c>
    </row>
    <row r="2500" spans="1:9">
      <c r="A2500" s="49">
        <v>45781</v>
      </c>
      <c r="B2500" s="50">
        <v>0.9907754629629629</v>
      </c>
      <c r="C2500" t="s">
        <v>155</v>
      </c>
      <c r="D2500" t="s">
        <v>155</v>
      </c>
      <c r="E2500" t="s">
        <v>32</v>
      </c>
      <c r="F2500" t="s">
        <v>1032</v>
      </c>
      <c r="G2500">
        <v>300000</v>
      </c>
      <c r="H2500" t="s">
        <v>153</v>
      </c>
      <c r="I2500" t="s">
        <v>64</v>
      </c>
    </row>
    <row r="2501" spans="1:9">
      <c r="A2501" s="49">
        <v>45781</v>
      </c>
      <c r="B2501" s="50">
        <v>0.7773148148148148</v>
      </c>
      <c r="C2501" t="s">
        <v>155</v>
      </c>
      <c r="D2501" t="s">
        <v>155</v>
      </c>
      <c r="E2501" t="s">
        <v>32</v>
      </c>
      <c r="F2501" t="s">
        <v>706</v>
      </c>
      <c r="G2501">
        <v>300000</v>
      </c>
      <c r="H2501" t="s">
        <v>153</v>
      </c>
      <c r="I2501" t="s">
        <v>64</v>
      </c>
    </row>
    <row r="2502" spans="1:9">
      <c r="A2502" s="49">
        <v>45781</v>
      </c>
      <c r="B2502" s="50">
        <v>0.4398495370370371</v>
      </c>
      <c r="C2502" t="s">
        <v>150</v>
      </c>
      <c r="D2502" t="s">
        <v>44</v>
      </c>
      <c r="E2502" t="s">
        <v>225</v>
      </c>
      <c r="F2502" t="s">
        <v>372</v>
      </c>
      <c r="G2502">
        <v>-7890</v>
      </c>
      <c r="H2502" t="s">
        <v>153</v>
      </c>
      <c r="I2502" t="s">
        <v>64</v>
      </c>
    </row>
    <row r="2503" spans="1:9">
      <c r="A2503" s="49">
        <v>45780</v>
      </c>
      <c r="B2503" s="50">
        <v>0.8317476851851852</v>
      </c>
      <c r="C2503" t="s">
        <v>150</v>
      </c>
      <c r="D2503" t="s">
        <v>37</v>
      </c>
      <c r="E2503" t="s">
        <v>201</v>
      </c>
      <c r="F2503" t="s">
        <v>1033</v>
      </c>
      <c r="G2503">
        <v>-138321</v>
      </c>
      <c r="H2503" t="s">
        <v>153</v>
      </c>
      <c r="I2503" t="s">
        <v>214</v>
      </c>
    </row>
    <row r="2504" spans="1:9">
      <c r="A2504" s="49">
        <v>45780</v>
      </c>
      <c r="B2504" s="50">
        <v>0.7800694444444445</v>
      </c>
      <c r="C2504" t="s">
        <v>167</v>
      </c>
      <c r="D2504" t="s">
        <v>31</v>
      </c>
      <c r="E2504" t="s">
        <v>32</v>
      </c>
      <c r="F2504" t="s">
        <v>168</v>
      </c>
      <c r="G2504">
        <v>3000</v>
      </c>
      <c r="H2504" t="s">
        <v>153</v>
      </c>
      <c r="I2504" t="s">
        <v>64</v>
      </c>
    </row>
    <row r="2505" spans="1:9">
      <c r="A2505" s="49">
        <v>45780</v>
      </c>
      <c r="B2505" s="50">
        <v>0.7800578703703703</v>
      </c>
      <c r="C2505" t="s">
        <v>150</v>
      </c>
      <c r="D2505" t="s">
        <v>35</v>
      </c>
      <c r="E2505" t="s">
        <v>169</v>
      </c>
      <c r="F2505" t="s">
        <v>170</v>
      </c>
      <c r="G2505">
        <v>-1380</v>
      </c>
      <c r="H2505" t="s">
        <v>153</v>
      </c>
      <c r="I2505" t="s">
        <v>171</v>
      </c>
    </row>
    <row r="2506" spans="1:9">
      <c r="A2506" s="49">
        <v>45780</v>
      </c>
      <c r="B2506" s="50">
        <v>0.7758912037037037</v>
      </c>
      <c r="C2506" t="s">
        <v>150</v>
      </c>
      <c r="D2506" t="s">
        <v>40</v>
      </c>
      <c r="E2506" t="s">
        <v>172</v>
      </c>
      <c r="F2506" t="s">
        <v>173</v>
      </c>
      <c r="G2506">
        <v>-3000</v>
      </c>
      <c r="H2506" t="s">
        <v>153</v>
      </c>
      <c r="I2506" t="s">
        <v>64</v>
      </c>
    </row>
    <row r="2507" spans="1:9">
      <c r="A2507" s="49">
        <v>45780</v>
      </c>
      <c r="B2507" s="50">
        <v>0.7758912037037037</v>
      </c>
      <c r="C2507" t="s">
        <v>150</v>
      </c>
      <c r="D2507" t="s">
        <v>35</v>
      </c>
      <c r="E2507" t="s">
        <v>169</v>
      </c>
      <c r="F2507" t="s">
        <v>170</v>
      </c>
      <c r="G2507">
        <v>3000</v>
      </c>
      <c r="H2507" t="s">
        <v>153</v>
      </c>
      <c r="I2507" t="s">
        <v>171</v>
      </c>
    </row>
    <row r="2508" spans="1:9">
      <c r="A2508" s="49">
        <v>45780</v>
      </c>
      <c r="B2508" s="50">
        <v>0.5649189814814815</v>
      </c>
      <c r="C2508" t="s">
        <v>167</v>
      </c>
      <c r="D2508" t="s">
        <v>31</v>
      </c>
      <c r="E2508" t="s">
        <v>32</v>
      </c>
      <c r="F2508" t="s">
        <v>168</v>
      </c>
      <c r="G2508">
        <v>3000</v>
      </c>
      <c r="H2508" t="s">
        <v>153</v>
      </c>
      <c r="I2508" t="s">
        <v>64</v>
      </c>
    </row>
    <row r="2509" spans="1:9">
      <c r="A2509" s="49">
        <v>45780</v>
      </c>
      <c r="B2509" s="50">
        <v>0.5649074074074074</v>
      </c>
      <c r="C2509" t="s">
        <v>150</v>
      </c>
      <c r="D2509" t="s">
        <v>35</v>
      </c>
      <c r="E2509" t="s">
        <v>169</v>
      </c>
      <c r="F2509" t="s">
        <v>170</v>
      </c>
      <c r="G2509">
        <v>-690</v>
      </c>
      <c r="H2509" t="s">
        <v>153</v>
      </c>
      <c r="I2509" t="s">
        <v>171</v>
      </c>
    </row>
    <row r="2510" spans="1:9">
      <c r="A2510" s="49">
        <v>45780</v>
      </c>
      <c r="B2510" s="50">
        <v>0.5628472222222223</v>
      </c>
      <c r="C2510" t="s">
        <v>150</v>
      </c>
      <c r="D2510" t="s">
        <v>40</v>
      </c>
      <c r="E2510" t="s">
        <v>172</v>
      </c>
      <c r="F2510" t="s">
        <v>173</v>
      </c>
      <c r="G2510">
        <v>-3000</v>
      </c>
      <c r="H2510" t="s">
        <v>153</v>
      </c>
      <c r="I2510" t="s">
        <v>64</v>
      </c>
    </row>
    <row r="2511" spans="1:9">
      <c r="A2511" s="49">
        <v>45780</v>
      </c>
      <c r="B2511" s="50">
        <v>0.5628472222222223</v>
      </c>
      <c r="C2511" t="s">
        <v>150</v>
      </c>
      <c r="D2511" t="s">
        <v>35</v>
      </c>
      <c r="E2511" t="s">
        <v>169</v>
      </c>
      <c r="F2511" t="s">
        <v>170</v>
      </c>
      <c r="G2511">
        <v>3000</v>
      </c>
      <c r="H2511" t="s">
        <v>153</v>
      </c>
      <c r="I2511" t="s">
        <v>171</v>
      </c>
    </row>
    <row r="2512" spans="1:9">
      <c r="A2512" s="49">
        <v>45779</v>
      </c>
      <c r="B2512" s="50">
        <v>0.6307291666666667</v>
      </c>
      <c r="C2512" t="s">
        <v>150</v>
      </c>
      <c r="D2512" t="s">
        <v>47</v>
      </c>
      <c r="E2512" t="s">
        <v>292</v>
      </c>
      <c r="F2512" t="s">
        <v>1034</v>
      </c>
      <c r="G2512">
        <v>-5802000</v>
      </c>
      <c r="H2512" t="s">
        <v>153</v>
      </c>
      <c r="I2512" t="s">
        <v>64</v>
      </c>
    </row>
    <row r="2513" spans="1:9">
      <c r="A2513" s="49">
        <v>45779</v>
      </c>
      <c r="B2513" s="50">
        <v>0.626724537037037</v>
      </c>
      <c r="C2513" t="s">
        <v>155</v>
      </c>
      <c r="D2513" t="s">
        <v>155</v>
      </c>
      <c r="E2513" t="s">
        <v>32</v>
      </c>
      <c r="F2513" t="s">
        <v>846</v>
      </c>
      <c r="G2513">
        <v>-967000</v>
      </c>
      <c r="H2513" t="s">
        <v>153</v>
      </c>
      <c r="I2513" t="s">
        <v>64</v>
      </c>
    </row>
    <row r="2514" spans="1:9">
      <c r="A2514" s="49">
        <v>45779</v>
      </c>
      <c r="B2514" s="50">
        <v>0.5821412037037037</v>
      </c>
      <c r="C2514" t="s">
        <v>150</v>
      </c>
      <c r="D2514" t="s">
        <v>42</v>
      </c>
      <c r="E2514" t="s">
        <v>151</v>
      </c>
      <c r="F2514" t="s">
        <v>152</v>
      </c>
      <c r="G2514">
        <v>-14800</v>
      </c>
      <c r="H2514" t="s">
        <v>153</v>
      </c>
      <c r="I2514" t="s">
        <v>64</v>
      </c>
    </row>
    <row r="2515" spans="1:9">
      <c r="A2515" s="49">
        <v>45779</v>
      </c>
      <c r="B2515" s="50">
        <v>0.5456481481481481</v>
      </c>
      <c r="C2515" t="s">
        <v>155</v>
      </c>
      <c r="D2515" t="s">
        <v>155</v>
      </c>
      <c r="E2515" t="s">
        <v>32</v>
      </c>
      <c r="F2515" t="s">
        <v>246</v>
      </c>
      <c r="G2515">
        <v>-15300</v>
      </c>
      <c r="H2515" t="s">
        <v>153</v>
      </c>
      <c r="I2515" t="s">
        <v>64</v>
      </c>
    </row>
    <row r="2516" spans="1:9">
      <c r="A2516" s="49">
        <v>45779</v>
      </c>
      <c r="B2516" s="50">
        <v>0.501099537037037</v>
      </c>
      <c r="C2516" t="s">
        <v>155</v>
      </c>
      <c r="D2516" t="s">
        <v>241</v>
      </c>
      <c r="E2516" t="s">
        <v>32</v>
      </c>
      <c r="F2516" t="s">
        <v>688</v>
      </c>
      <c r="G2516">
        <v>8800000</v>
      </c>
      <c r="H2516" t="s">
        <v>153</v>
      </c>
      <c r="I2516" t="s">
        <v>64</v>
      </c>
    </row>
    <row r="2517" spans="1:9">
      <c r="A2517" s="49">
        <v>45779</v>
      </c>
      <c r="B2517" s="50">
        <v>0.4828125</v>
      </c>
      <c r="C2517" t="s">
        <v>150</v>
      </c>
      <c r="D2517" t="s">
        <v>35</v>
      </c>
      <c r="E2517" t="s">
        <v>169</v>
      </c>
      <c r="F2517" t="s">
        <v>170</v>
      </c>
      <c r="G2517">
        <v>-4900</v>
      </c>
      <c r="H2517" t="s">
        <v>153</v>
      </c>
      <c r="I2517" t="s">
        <v>171</v>
      </c>
    </row>
    <row r="2518" spans="1:9">
      <c r="A2518" s="49">
        <v>45779</v>
      </c>
      <c r="B2518" s="50">
        <v>0.3689467592592592</v>
      </c>
      <c r="C2518" t="s">
        <v>155</v>
      </c>
      <c r="D2518" t="s">
        <v>158</v>
      </c>
      <c r="E2518" t="s">
        <v>32</v>
      </c>
      <c r="F2518" t="s">
        <v>160</v>
      </c>
      <c r="G2518">
        <v>-10000</v>
      </c>
      <c r="H2518" t="s">
        <v>153</v>
      </c>
      <c r="I2518" t="s">
        <v>64</v>
      </c>
    </row>
    <row r="2519" spans="1:9">
      <c r="A2519" s="49">
        <v>45779</v>
      </c>
      <c r="B2519" s="50">
        <v>0.3689351851851852</v>
      </c>
      <c r="C2519" t="s">
        <v>150</v>
      </c>
      <c r="D2519" t="s">
        <v>44</v>
      </c>
      <c r="E2519" t="s">
        <v>315</v>
      </c>
      <c r="F2519" t="s">
        <v>316</v>
      </c>
      <c r="G2519">
        <v>-3300</v>
      </c>
      <c r="H2519" t="s">
        <v>153</v>
      </c>
      <c r="I2519" t="s">
        <v>164</v>
      </c>
    </row>
    <row r="2520" spans="1:9">
      <c r="A2520" s="49">
        <v>45779</v>
      </c>
      <c r="B2520" s="50">
        <v>0.3689351851851852</v>
      </c>
      <c r="C2520" t="s">
        <v>155</v>
      </c>
      <c r="D2520" t="s">
        <v>158</v>
      </c>
      <c r="E2520" t="s">
        <v>32</v>
      </c>
      <c r="F2520" t="s">
        <v>159</v>
      </c>
      <c r="G2520">
        <v>10000</v>
      </c>
      <c r="H2520" t="s">
        <v>153</v>
      </c>
      <c r="I2520" t="s">
        <v>157</v>
      </c>
    </row>
    <row r="2521" spans="1:9">
      <c r="A2521" s="49">
        <v>45779</v>
      </c>
      <c r="B2521" s="50">
        <v>0.3491666666666667</v>
      </c>
      <c r="C2521" t="s">
        <v>155</v>
      </c>
      <c r="D2521" t="s">
        <v>155</v>
      </c>
      <c r="E2521" t="s">
        <v>32</v>
      </c>
      <c r="F2521" t="s">
        <v>1035</v>
      </c>
      <c r="G2521">
        <v>300000</v>
      </c>
      <c r="H2521" t="s">
        <v>153</v>
      </c>
      <c r="I2521" t="s">
        <v>64</v>
      </c>
    </row>
    <row r="2522" spans="1:9">
      <c r="A2522" s="49">
        <v>45778</v>
      </c>
      <c r="B2522" s="50">
        <v>0.9506481481481481</v>
      </c>
      <c r="C2522" t="s">
        <v>150</v>
      </c>
      <c r="D2522" t="s">
        <v>35</v>
      </c>
      <c r="E2522" t="s">
        <v>174</v>
      </c>
      <c r="F2522" t="s">
        <v>1036</v>
      </c>
      <c r="G2522">
        <v>-13400</v>
      </c>
      <c r="H2522" t="s">
        <v>153</v>
      </c>
      <c r="I2522" t="s">
        <v>214</v>
      </c>
    </row>
    <row r="2523" spans="1:9">
      <c r="A2523" s="49">
        <v>45778</v>
      </c>
      <c r="B2523" s="50">
        <v>0.8735416666666667</v>
      </c>
      <c r="C2523" t="s">
        <v>150</v>
      </c>
      <c r="D2523" t="s">
        <v>40</v>
      </c>
      <c r="E2523" t="s">
        <v>172</v>
      </c>
      <c r="F2523" t="s">
        <v>509</v>
      </c>
      <c r="G2523">
        <v>-8000</v>
      </c>
      <c r="H2523" t="s">
        <v>153</v>
      </c>
      <c r="I2523" t="s">
        <v>214</v>
      </c>
    </row>
    <row r="2524" spans="1:9">
      <c r="A2524" s="49">
        <v>45778</v>
      </c>
      <c r="B2524" s="50">
        <v>0.8249074074074074</v>
      </c>
      <c r="C2524" t="s">
        <v>150</v>
      </c>
      <c r="D2524" t="s">
        <v>34</v>
      </c>
      <c r="E2524" t="s">
        <v>322</v>
      </c>
      <c r="F2524" t="s">
        <v>1037</v>
      </c>
      <c r="G2524">
        <v>-125000</v>
      </c>
      <c r="H2524" t="s">
        <v>153</v>
      </c>
      <c r="I2524" t="s">
        <v>171</v>
      </c>
    </row>
    <row r="2525" spans="1:9">
      <c r="A2525" s="49">
        <v>45778</v>
      </c>
      <c r="B2525" s="50">
        <v>0.7459837962962963</v>
      </c>
      <c r="C2525" t="s">
        <v>150</v>
      </c>
      <c r="D2525" t="s">
        <v>42</v>
      </c>
      <c r="E2525" t="s">
        <v>177</v>
      </c>
      <c r="F2525" t="s">
        <v>1038</v>
      </c>
      <c r="G2525">
        <v>-39000</v>
      </c>
      <c r="H2525" t="s">
        <v>153</v>
      </c>
      <c r="I2525" t="s">
        <v>214</v>
      </c>
    </row>
    <row r="2526" spans="1:9">
      <c r="A2526" s="49">
        <v>45778</v>
      </c>
      <c r="B2526" s="50">
        <v>0.6947569444444445</v>
      </c>
      <c r="C2526" t="s">
        <v>150</v>
      </c>
      <c r="D2526" t="s">
        <v>36</v>
      </c>
      <c r="E2526" t="s">
        <v>191</v>
      </c>
      <c r="F2526" t="s">
        <v>192</v>
      </c>
      <c r="G2526">
        <v>-40000</v>
      </c>
      <c r="H2526" t="s">
        <v>153</v>
      </c>
      <c r="I2526" t="s">
        <v>157</v>
      </c>
    </row>
    <row r="2527" spans="1:9">
      <c r="A2527" s="49">
        <v>45778</v>
      </c>
      <c r="B2527" s="50">
        <v>0.6947453703703703</v>
      </c>
      <c r="C2527" t="s">
        <v>155</v>
      </c>
      <c r="D2527" t="s">
        <v>158</v>
      </c>
      <c r="E2527" t="s">
        <v>32</v>
      </c>
      <c r="F2527" t="s">
        <v>159</v>
      </c>
      <c r="G2527">
        <v>31408</v>
      </c>
      <c r="H2527" t="s">
        <v>153</v>
      </c>
      <c r="I2527" t="s">
        <v>157</v>
      </c>
    </row>
    <row r="2528" spans="1:9">
      <c r="A2528" s="49">
        <v>45778</v>
      </c>
      <c r="B2528" s="50">
        <v>0.6947453703703703</v>
      </c>
      <c r="C2528" t="s">
        <v>155</v>
      </c>
      <c r="D2528" t="s">
        <v>158</v>
      </c>
      <c r="E2528" t="s">
        <v>32</v>
      </c>
      <c r="F2528" t="s">
        <v>160</v>
      </c>
      <c r="G2528">
        <v>-31408</v>
      </c>
      <c r="H2528" t="s">
        <v>153</v>
      </c>
      <c r="I2528" t="s">
        <v>64</v>
      </c>
    </row>
    <row r="2529" spans="1:9">
      <c r="A2529" s="49">
        <v>45777</v>
      </c>
      <c r="B2529" s="50">
        <v>0.7857986111111112</v>
      </c>
      <c r="C2529" t="s">
        <v>150</v>
      </c>
      <c r="D2529" t="s">
        <v>35</v>
      </c>
      <c r="E2529" t="s">
        <v>169</v>
      </c>
      <c r="F2529" t="s">
        <v>739</v>
      </c>
      <c r="G2529">
        <v>-1408</v>
      </c>
      <c r="H2529" t="s">
        <v>153</v>
      </c>
      <c r="I2529" t="s">
        <v>164</v>
      </c>
    </row>
    <row r="2530" spans="1:9">
      <c r="A2530" s="49">
        <v>45777</v>
      </c>
      <c r="B2530" s="50">
        <v>0.7857986111111112</v>
      </c>
      <c r="C2530" t="s">
        <v>155</v>
      </c>
      <c r="D2530" t="s">
        <v>158</v>
      </c>
      <c r="E2530" t="s">
        <v>32</v>
      </c>
      <c r="F2530" t="s">
        <v>159</v>
      </c>
      <c r="G2530">
        <v>10000</v>
      </c>
      <c r="H2530" t="s">
        <v>153</v>
      </c>
      <c r="I2530" t="s">
        <v>157</v>
      </c>
    </row>
    <row r="2531" spans="1:9">
      <c r="A2531" s="49">
        <v>45777</v>
      </c>
      <c r="B2531" s="50">
        <v>0.7857986111111112</v>
      </c>
      <c r="C2531" t="s">
        <v>155</v>
      </c>
      <c r="D2531" t="s">
        <v>158</v>
      </c>
      <c r="E2531" t="s">
        <v>32</v>
      </c>
      <c r="F2531" t="s">
        <v>160</v>
      </c>
      <c r="G2531">
        <v>-10000</v>
      </c>
      <c r="H2531" t="s">
        <v>153</v>
      </c>
      <c r="I2531" t="s">
        <v>64</v>
      </c>
    </row>
    <row r="2532" spans="1:9">
      <c r="A2532" s="49">
        <v>45777</v>
      </c>
      <c r="B2532" s="50">
        <v>0.725</v>
      </c>
      <c r="C2532" t="s">
        <v>150</v>
      </c>
      <c r="D2532" t="s">
        <v>36</v>
      </c>
      <c r="E2532" t="s">
        <v>377</v>
      </c>
      <c r="F2532" t="s">
        <v>1039</v>
      </c>
      <c r="G2532">
        <v>-4400</v>
      </c>
      <c r="H2532" t="s">
        <v>153</v>
      </c>
      <c r="I2532" t="s">
        <v>66</v>
      </c>
    </row>
    <row r="2533" spans="1:9">
      <c r="A2533" s="49">
        <v>45777</v>
      </c>
      <c r="B2533" s="50">
        <v>0.7084722222222222</v>
      </c>
      <c r="C2533" t="s">
        <v>155</v>
      </c>
      <c r="D2533" t="s">
        <v>158</v>
      </c>
      <c r="E2533" t="s">
        <v>32</v>
      </c>
      <c r="F2533" t="s">
        <v>7</v>
      </c>
      <c r="G2533">
        <v>10000</v>
      </c>
      <c r="H2533" t="s">
        <v>153</v>
      </c>
      <c r="I2533" t="s">
        <v>66</v>
      </c>
    </row>
    <row r="2534" spans="1:9">
      <c r="A2534" s="49">
        <v>45777</v>
      </c>
      <c r="B2534" s="50">
        <v>0.7084606481481481</v>
      </c>
      <c r="C2534" t="s">
        <v>155</v>
      </c>
      <c r="D2534" t="s">
        <v>158</v>
      </c>
      <c r="E2534" t="s">
        <v>32</v>
      </c>
      <c r="F2534" t="s">
        <v>7</v>
      </c>
      <c r="G2534">
        <v>-10000</v>
      </c>
      <c r="H2534" t="s">
        <v>153</v>
      </c>
      <c r="I2534" t="s">
        <v>64</v>
      </c>
    </row>
    <row r="2535" spans="1:9">
      <c r="A2535" s="49">
        <v>45777</v>
      </c>
      <c r="B2535" s="50">
        <v>0.7067129629629629</v>
      </c>
      <c r="C2535" t="s">
        <v>155</v>
      </c>
      <c r="D2535" t="s">
        <v>32</v>
      </c>
      <c r="E2535" t="s">
        <v>32</v>
      </c>
      <c r="F2535" t="s">
        <v>1040</v>
      </c>
      <c r="G2535">
        <v>0</v>
      </c>
      <c r="H2535" t="s">
        <v>153</v>
      </c>
      <c r="I2535" t="s">
        <v>66</v>
      </c>
    </row>
    <row r="2536" spans="1:9">
      <c r="A2536" s="49">
        <v>45776</v>
      </c>
      <c r="B2536" s="50">
        <v>0.8756712962962963</v>
      </c>
      <c r="C2536" t="s">
        <v>155</v>
      </c>
      <c r="D2536" t="s">
        <v>155</v>
      </c>
      <c r="E2536" t="s">
        <v>32</v>
      </c>
      <c r="F2536" t="s">
        <v>525</v>
      </c>
      <c r="G2536">
        <v>300000</v>
      </c>
      <c r="H2536" t="s">
        <v>153</v>
      </c>
      <c r="I2536" t="s">
        <v>64</v>
      </c>
    </row>
    <row r="2537" spans="1:9">
      <c r="A2537" s="49">
        <v>45776</v>
      </c>
      <c r="B2537" s="50">
        <v>0.7199652777777777</v>
      </c>
      <c r="C2537" t="s">
        <v>167</v>
      </c>
      <c r="D2537" t="s">
        <v>31</v>
      </c>
      <c r="E2537" t="s">
        <v>32</v>
      </c>
      <c r="F2537" t="s">
        <v>168</v>
      </c>
      <c r="G2537">
        <v>3000</v>
      </c>
      <c r="H2537" t="s">
        <v>153</v>
      </c>
      <c r="I2537" t="s">
        <v>64</v>
      </c>
    </row>
    <row r="2538" spans="1:9">
      <c r="A2538" s="49">
        <v>45776</v>
      </c>
      <c r="B2538" s="50">
        <v>0.7197916666666667</v>
      </c>
      <c r="C2538" t="s">
        <v>150</v>
      </c>
      <c r="D2538" t="s">
        <v>35</v>
      </c>
      <c r="E2538" t="s">
        <v>169</v>
      </c>
      <c r="F2538" t="s">
        <v>170</v>
      </c>
      <c r="G2538">
        <v>-2530</v>
      </c>
      <c r="H2538" t="s">
        <v>153</v>
      </c>
      <c r="I2538" t="s">
        <v>171</v>
      </c>
    </row>
    <row r="2539" spans="1:9">
      <c r="A2539" s="49">
        <v>45776</v>
      </c>
      <c r="B2539" s="50">
        <v>0.7122337962962964</v>
      </c>
      <c r="C2539" t="s">
        <v>150</v>
      </c>
      <c r="D2539" t="s">
        <v>35</v>
      </c>
      <c r="E2539" t="s">
        <v>169</v>
      </c>
      <c r="F2539" t="s">
        <v>170</v>
      </c>
      <c r="G2539">
        <v>3000</v>
      </c>
      <c r="H2539" t="s">
        <v>153</v>
      </c>
      <c r="I2539" t="s">
        <v>171</v>
      </c>
    </row>
    <row r="2540" spans="1:9">
      <c r="A2540" s="49">
        <v>45776</v>
      </c>
      <c r="B2540" s="50">
        <v>0.7122222222222222</v>
      </c>
      <c r="C2540" t="s">
        <v>150</v>
      </c>
      <c r="D2540" t="s">
        <v>40</v>
      </c>
      <c r="E2540" t="s">
        <v>172</v>
      </c>
      <c r="F2540" t="s">
        <v>173</v>
      </c>
      <c r="G2540">
        <v>-3000</v>
      </c>
      <c r="H2540" t="s">
        <v>153</v>
      </c>
      <c r="I2540" t="s">
        <v>64</v>
      </c>
    </row>
    <row r="2541" spans="1:9">
      <c r="A2541" s="49">
        <v>45776</v>
      </c>
      <c r="B2541" s="50">
        <v>0.5655555555555556</v>
      </c>
      <c r="C2541" t="s">
        <v>150</v>
      </c>
      <c r="D2541" t="s">
        <v>44</v>
      </c>
      <c r="E2541" t="s">
        <v>225</v>
      </c>
      <c r="F2541" t="s">
        <v>395</v>
      </c>
      <c r="G2541">
        <v>-14900</v>
      </c>
      <c r="H2541" t="s">
        <v>153</v>
      </c>
      <c r="I2541" t="s">
        <v>171</v>
      </c>
    </row>
    <row r="2542" spans="1:9">
      <c r="A2542" s="49">
        <v>45776</v>
      </c>
      <c r="B2542" s="50">
        <v>0.04211805555555555</v>
      </c>
      <c r="C2542" t="s">
        <v>150</v>
      </c>
      <c r="D2542" t="s">
        <v>44</v>
      </c>
      <c r="E2542" t="s">
        <v>225</v>
      </c>
      <c r="F2542" t="s">
        <v>932</v>
      </c>
      <c r="G2542">
        <v>-29370</v>
      </c>
      <c r="H2542" t="s">
        <v>153</v>
      </c>
      <c r="I2542" t="s">
        <v>214</v>
      </c>
    </row>
    <row r="2543" spans="1:9">
      <c r="A2543" s="49">
        <v>45775</v>
      </c>
      <c r="B2543" s="50">
        <v>0.9354861111111111</v>
      </c>
      <c r="C2543" t="s">
        <v>150</v>
      </c>
      <c r="D2543" t="s">
        <v>48</v>
      </c>
      <c r="E2543" t="s">
        <v>185</v>
      </c>
      <c r="F2543" t="s">
        <v>905</v>
      </c>
      <c r="G2543">
        <v>-1600</v>
      </c>
      <c r="H2543" t="s">
        <v>153</v>
      </c>
      <c r="I2543" t="s">
        <v>214</v>
      </c>
    </row>
    <row r="2544" spans="1:9">
      <c r="A2544" s="49">
        <v>45775</v>
      </c>
      <c r="B2544" s="50">
        <v>0.6498032407407407</v>
      </c>
      <c r="C2544" t="s">
        <v>150</v>
      </c>
      <c r="D2544" t="s">
        <v>40</v>
      </c>
      <c r="E2544" t="s">
        <v>223</v>
      </c>
      <c r="F2544" t="s">
        <v>968</v>
      </c>
      <c r="G2544">
        <v>-3000</v>
      </c>
      <c r="H2544" t="s">
        <v>153</v>
      </c>
      <c r="I2544" t="s">
        <v>214</v>
      </c>
    </row>
    <row r="2545" spans="1:9">
      <c r="A2545" s="49">
        <v>45775</v>
      </c>
      <c r="B2545" s="50">
        <v>0.5262962962962963</v>
      </c>
      <c r="C2545" t="s">
        <v>167</v>
      </c>
      <c r="D2545" t="s">
        <v>31</v>
      </c>
      <c r="E2545" t="s">
        <v>32</v>
      </c>
      <c r="F2545" t="s">
        <v>168</v>
      </c>
      <c r="G2545">
        <v>3000</v>
      </c>
      <c r="H2545" t="s">
        <v>153</v>
      </c>
      <c r="I2545" t="s">
        <v>64</v>
      </c>
    </row>
    <row r="2546" spans="1:9">
      <c r="A2546" s="49">
        <v>45775</v>
      </c>
      <c r="B2546" s="50">
        <v>0.5262731481481482</v>
      </c>
      <c r="C2546" t="s">
        <v>150</v>
      </c>
      <c r="D2546" t="s">
        <v>35</v>
      </c>
      <c r="E2546" t="s">
        <v>169</v>
      </c>
      <c r="F2546" t="s">
        <v>170</v>
      </c>
      <c r="G2546">
        <v>-1380</v>
      </c>
      <c r="H2546" t="s">
        <v>153</v>
      </c>
      <c r="I2546" t="s">
        <v>171</v>
      </c>
    </row>
    <row r="2547" spans="1:9">
      <c r="A2547" s="49">
        <v>45775</v>
      </c>
      <c r="B2547" s="50">
        <v>0.5220486111111111</v>
      </c>
      <c r="C2547" t="s">
        <v>150</v>
      </c>
      <c r="D2547" t="s">
        <v>35</v>
      </c>
      <c r="E2547" t="s">
        <v>169</v>
      </c>
      <c r="F2547" t="s">
        <v>170</v>
      </c>
      <c r="G2547">
        <v>3000</v>
      </c>
      <c r="H2547" t="s">
        <v>153</v>
      </c>
      <c r="I2547" t="s">
        <v>171</v>
      </c>
    </row>
    <row r="2548" spans="1:9">
      <c r="A2548" s="49">
        <v>45775</v>
      </c>
      <c r="B2548" s="50">
        <v>0.5220370370370371</v>
      </c>
      <c r="C2548" t="s">
        <v>150</v>
      </c>
      <c r="D2548" t="s">
        <v>40</v>
      </c>
      <c r="E2548" t="s">
        <v>172</v>
      </c>
      <c r="F2548" t="s">
        <v>173</v>
      </c>
      <c r="G2548">
        <v>-3000</v>
      </c>
      <c r="H2548" t="s">
        <v>153</v>
      </c>
      <c r="I2548" t="s">
        <v>64</v>
      </c>
    </row>
    <row r="2549" spans="1:9">
      <c r="A2549" s="49">
        <v>45775</v>
      </c>
      <c r="B2549" s="50">
        <v>0.451712962962963</v>
      </c>
      <c r="C2549" t="s">
        <v>155</v>
      </c>
      <c r="D2549" t="s">
        <v>158</v>
      </c>
      <c r="E2549" t="s">
        <v>32</v>
      </c>
      <c r="F2549" t="s">
        <v>159</v>
      </c>
      <c r="G2549">
        <v>15486</v>
      </c>
      <c r="H2549" t="s">
        <v>153</v>
      </c>
      <c r="I2549" t="s">
        <v>157</v>
      </c>
    </row>
    <row r="2550" spans="1:9">
      <c r="A2550" s="49">
        <v>45775</v>
      </c>
      <c r="B2550" s="50">
        <v>0.451712962962963</v>
      </c>
      <c r="C2550" t="s">
        <v>150</v>
      </c>
      <c r="D2550" t="s">
        <v>44</v>
      </c>
      <c r="E2550" t="s">
        <v>162</v>
      </c>
      <c r="F2550" t="s">
        <v>163</v>
      </c>
      <c r="G2550">
        <v>-17400</v>
      </c>
      <c r="H2550" t="s">
        <v>153</v>
      </c>
      <c r="I2550" t="s">
        <v>164</v>
      </c>
    </row>
    <row r="2551" spans="1:9">
      <c r="A2551" s="49">
        <v>45775</v>
      </c>
      <c r="B2551" s="50">
        <v>0.451712962962963</v>
      </c>
      <c r="C2551" t="s">
        <v>155</v>
      </c>
      <c r="D2551" t="s">
        <v>158</v>
      </c>
      <c r="E2551" t="s">
        <v>32</v>
      </c>
      <c r="F2551" t="s">
        <v>160</v>
      </c>
      <c r="G2551">
        <v>-15486</v>
      </c>
      <c r="H2551" t="s">
        <v>153</v>
      </c>
      <c r="I2551" t="s">
        <v>64</v>
      </c>
    </row>
    <row r="2552" spans="1:9">
      <c r="A2552" s="49">
        <v>45774</v>
      </c>
      <c r="B2552" s="50">
        <v>0.7317592592592592</v>
      </c>
      <c r="C2552" t="s">
        <v>150</v>
      </c>
      <c r="D2552" t="s">
        <v>35</v>
      </c>
      <c r="E2552" t="s">
        <v>169</v>
      </c>
      <c r="F2552" t="s">
        <v>739</v>
      </c>
      <c r="G2552">
        <v>-1569</v>
      </c>
      <c r="H2552" t="s">
        <v>153</v>
      </c>
      <c r="I2552" t="s">
        <v>164</v>
      </c>
    </row>
    <row r="2553" spans="1:9">
      <c r="A2553" s="49">
        <v>45774</v>
      </c>
      <c r="B2553" s="50">
        <v>0.697962962962963</v>
      </c>
      <c r="C2553" t="s">
        <v>150</v>
      </c>
      <c r="D2553" t="s">
        <v>48</v>
      </c>
      <c r="E2553" t="s">
        <v>196</v>
      </c>
      <c r="F2553" t="s">
        <v>771</v>
      </c>
      <c r="G2553">
        <v>1500</v>
      </c>
      <c r="H2553" t="s">
        <v>153</v>
      </c>
      <c r="I2553" t="s">
        <v>214</v>
      </c>
    </row>
    <row r="2554" spans="1:9">
      <c r="A2554" s="49">
        <v>45774</v>
      </c>
      <c r="B2554" s="50">
        <v>0.6955787037037037</v>
      </c>
      <c r="C2554" t="s">
        <v>150</v>
      </c>
      <c r="D2554" t="s">
        <v>48</v>
      </c>
      <c r="E2554" t="s">
        <v>196</v>
      </c>
      <c r="F2554" t="s">
        <v>771</v>
      </c>
      <c r="G2554">
        <v>-1500</v>
      </c>
      <c r="H2554" t="s">
        <v>153</v>
      </c>
      <c r="I2554" t="s">
        <v>214</v>
      </c>
    </row>
    <row r="2555" spans="1:9">
      <c r="A2555" s="49">
        <v>45774</v>
      </c>
      <c r="B2555" s="50">
        <v>0.5015162037037038</v>
      </c>
      <c r="C2555" t="s">
        <v>150</v>
      </c>
      <c r="D2555" t="s">
        <v>48</v>
      </c>
      <c r="E2555" t="s">
        <v>185</v>
      </c>
      <c r="F2555" t="s">
        <v>823</v>
      </c>
      <c r="G2555">
        <v>-14700</v>
      </c>
      <c r="H2555" t="s">
        <v>153</v>
      </c>
      <c r="I2555" t="s">
        <v>214</v>
      </c>
    </row>
    <row r="2556" spans="1:9">
      <c r="A2556" s="49">
        <v>45774</v>
      </c>
      <c r="B2556" s="50">
        <v>0.3808449074074074</v>
      </c>
      <c r="C2556" t="s">
        <v>155</v>
      </c>
      <c r="D2556" t="s">
        <v>158</v>
      </c>
      <c r="E2556" t="s">
        <v>32</v>
      </c>
      <c r="F2556" t="s">
        <v>159</v>
      </c>
      <c r="G2556">
        <v>10000</v>
      </c>
      <c r="H2556" t="s">
        <v>153</v>
      </c>
      <c r="I2556" t="s">
        <v>157</v>
      </c>
    </row>
    <row r="2557" spans="1:9">
      <c r="A2557" s="49">
        <v>45774</v>
      </c>
      <c r="B2557" s="50">
        <v>0.3808449074074074</v>
      </c>
      <c r="C2557" t="s">
        <v>150</v>
      </c>
      <c r="D2557" t="s">
        <v>44</v>
      </c>
      <c r="E2557" t="s">
        <v>315</v>
      </c>
      <c r="F2557" t="s">
        <v>316</v>
      </c>
      <c r="G2557">
        <v>-29000</v>
      </c>
      <c r="H2557" t="s">
        <v>153</v>
      </c>
      <c r="I2557" t="s">
        <v>164</v>
      </c>
    </row>
    <row r="2558" spans="1:9">
      <c r="A2558" s="49">
        <v>45774</v>
      </c>
      <c r="B2558" s="50">
        <v>0.3808449074074074</v>
      </c>
      <c r="C2558" t="s">
        <v>155</v>
      </c>
      <c r="D2558" t="s">
        <v>158</v>
      </c>
      <c r="E2558" t="s">
        <v>32</v>
      </c>
      <c r="F2558" t="s">
        <v>160</v>
      </c>
      <c r="G2558">
        <v>-10000</v>
      </c>
      <c r="H2558" t="s">
        <v>153</v>
      </c>
      <c r="I2558" t="s">
        <v>64</v>
      </c>
    </row>
    <row r="2559" spans="1:9">
      <c r="A2559" s="49">
        <v>45773</v>
      </c>
      <c r="B2559" s="50">
        <v>0.6593287037037037</v>
      </c>
      <c r="C2559" t="s">
        <v>150</v>
      </c>
      <c r="D2559" t="s">
        <v>42</v>
      </c>
      <c r="E2559" t="s">
        <v>674</v>
      </c>
      <c r="F2559" t="s">
        <v>1041</v>
      </c>
      <c r="G2559">
        <v>-4900</v>
      </c>
      <c r="H2559" t="s">
        <v>153</v>
      </c>
      <c r="I2559" t="s">
        <v>214</v>
      </c>
    </row>
    <row r="2560" spans="1:9">
      <c r="A2560" s="49">
        <v>45773</v>
      </c>
      <c r="B2560" s="50">
        <v>0.6555092592592593</v>
      </c>
      <c r="C2560" t="s">
        <v>150</v>
      </c>
      <c r="D2560" t="s">
        <v>44</v>
      </c>
      <c r="E2560" t="s">
        <v>260</v>
      </c>
      <c r="F2560" t="s">
        <v>261</v>
      </c>
      <c r="G2560">
        <v>-120000</v>
      </c>
      <c r="H2560" t="s">
        <v>153</v>
      </c>
      <c r="I2560" t="s">
        <v>64</v>
      </c>
    </row>
    <row r="2561" spans="1:9">
      <c r="A2561" s="49">
        <v>45773</v>
      </c>
      <c r="B2561" s="50">
        <v>0.5524768518518518</v>
      </c>
      <c r="C2561" t="s">
        <v>150</v>
      </c>
      <c r="D2561" t="s">
        <v>35</v>
      </c>
      <c r="E2561" t="s">
        <v>169</v>
      </c>
      <c r="F2561" t="s">
        <v>739</v>
      </c>
      <c r="G2561">
        <v>-1408</v>
      </c>
      <c r="H2561" t="s">
        <v>153</v>
      </c>
      <c r="I2561" t="s">
        <v>164</v>
      </c>
    </row>
    <row r="2562" spans="1:9">
      <c r="A2562" s="49">
        <v>45773</v>
      </c>
      <c r="B2562" s="50">
        <v>0.3978935185185185</v>
      </c>
      <c r="C2562" t="s">
        <v>150</v>
      </c>
      <c r="D2562" t="s">
        <v>44</v>
      </c>
      <c r="E2562" t="s">
        <v>260</v>
      </c>
      <c r="F2562" t="s">
        <v>1042</v>
      </c>
      <c r="G2562">
        <v>-125656</v>
      </c>
      <c r="H2562" t="s">
        <v>153</v>
      </c>
      <c r="I2562" t="s">
        <v>214</v>
      </c>
    </row>
    <row r="2563" spans="1:9">
      <c r="A2563" s="49">
        <v>45773</v>
      </c>
      <c r="B2563" s="50">
        <v>0.1967708333333333</v>
      </c>
      <c r="C2563" t="s">
        <v>167</v>
      </c>
      <c r="D2563" t="s">
        <v>28</v>
      </c>
      <c r="E2563" t="s">
        <v>32</v>
      </c>
      <c r="F2563" t="s">
        <v>278</v>
      </c>
      <c r="G2563">
        <v>515</v>
      </c>
      <c r="H2563" t="s">
        <v>153</v>
      </c>
      <c r="I2563" t="s">
        <v>64</v>
      </c>
    </row>
    <row r="2564" spans="1:9">
      <c r="A2564" s="49">
        <v>45773</v>
      </c>
      <c r="B2564" s="50">
        <v>0.1099074074074074</v>
      </c>
      <c r="C2564" t="s">
        <v>155</v>
      </c>
      <c r="D2564" t="s">
        <v>241</v>
      </c>
      <c r="E2564" t="s">
        <v>32</v>
      </c>
      <c r="F2564" t="s">
        <v>279</v>
      </c>
      <c r="G2564">
        <v>0</v>
      </c>
      <c r="H2564" t="s">
        <v>153</v>
      </c>
      <c r="I2564" t="s">
        <v>62</v>
      </c>
    </row>
    <row r="2565" spans="1:9">
      <c r="A2565" s="49">
        <v>45772</v>
      </c>
      <c r="B2565" s="50">
        <v>0.9068171296296297</v>
      </c>
      <c r="C2565" t="s">
        <v>150</v>
      </c>
      <c r="D2565" t="s">
        <v>40</v>
      </c>
      <c r="E2565" t="s">
        <v>172</v>
      </c>
      <c r="F2565" t="s">
        <v>1043</v>
      </c>
      <c r="G2565">
        <v>-3900</v>
      </c>
      <c r="H2565" t="s">
        <v>153</v>
      </c>
      <c r="I2565" t="s">
        <v>164</v>
      </c>
    </row>
    <row r="2566" spans="1:9">
      <c r="A2566" s="49">
        <v>45771</v>
      </c>
      <c r="B2566" s="50">
        <v>0.9611805555555556</v>
      </c>
      <c r="C2566" t="s">
        <v>150</v>
      </c>
      <c r="D2566" t="s">
        <v>35</v>
      </c>
      <c r="E2566" t="s">
        <v>169</v>
      </c>
      <c r="F2566" t="s">
        <v>739</v>
      </c>
      <c r="G2566">
        <v>-646</v>
      </c>
      <c r="H2566" t="s">
        <v>153</v>
      </c>
      <c r="I2566" t="s">
        <v>164</v>
      </c>
    </row>
    <row r="2567" spans="1:9">
      <c r="A2567" s="49">
        <v>45771</v>
      </c>
      <c r="B2567" s="50">
        <v>0.8172569444444444</v>
      </c>
      <c r="C2567" t="s">
        <v>155</v>
      </c>
      <c r="D2567" t="s">
        <v>229</v>
      </c>
      <c r="E2567" t="s">
        <v>32</v>
      </c>
      <c r="F2567" t="s">
        <v>1044</v>
      </c>
      <c r="G2567">
        <v>450000</v>
      </c>
      <c r="H2567" t="s">
        <v>153</v>
      </c>
      <c r="I2567" t="s">
        <v>64</v>
      </c>
    </row>
    <row r="2568" spans="1:9">
      <c r="A2568" s="49">
        <v>45771</v>
      </c>
      <c r="B2568" s="50">
        <v>0.5608333333333333</v>
      </c>
      <c r="C2568" t="s">
        <v>150</v>
      </c>
      <c r="D2568" t="s">
        <v>45</v>
      </c>
      <c r="E2568" t="s">
        <v>1045</v>
      </c>
      <c r="F2568" t="s">
        <v>1046</v>
      </c>
      <c r="G2568">
        <v>-63000</v>
      </c>
      <c r="H2568" t="s">
        <v>153</v>
      </c>
      <c r="I2568" t="s">
        <v>214</v>
      </c>
    </row>
    <row r="2569" spans="1:9">
      <c r="A2569" s="49">
        <v>45771</v>
      </c>
      <c r="B2569" s="50">
        <v>0.556412037037037</v>
      </c>
      <c r="C2569" t="s">
        <v>150</v>
      </c>
      <c r="D2569" t="s">
        <v>48</v>
      </c>
      <c r="E2569" t="s">
        <v>185</v>
      </c>
      <c r="F2569" t="s">
        <v>715</v>
      </c>
      <c r="G2569">
        <v>20000</v>
      </c>
      <c r="H2569" t="s">
        <v>153</v>
      </c>
      <c r="I2569" t="s">
        <v>164</v>
      </c>
    </row>
    <row r="2570" spans="1:9">
      <c r="A2570" s="49">
        <v>45771</v>
      </c>
      <c r="B2570" s="50">
        <v>0.4799074074074074</v>
      </c>
      <c r="C2570" t="s">
        <v>155</v>
      </c>
      <c r="D2570" t="s">
        <v>158</v>
      </c>
      <c r="E2570" t="s">
        <v>32</v>
      </c>
      <c r="F2570" t="s">
        <v>160</v>
      </c>
      <c r="G2570">
        <v>-10000</v>
      </c>
      <c r="H2570" t="s">
        <v>153</v>
      </c>
      <c r="I2570" t="s">
        <v>64</v>
      </c>
    </row>
    <row r="2571" spans="1:9">
      <c r="A2571" s="49">
        <v>45771</v>
      </c>
      <c r="B2571" s="50">
        <v>0.4799074074074074</v>
      </c>
      <c r="C2571" t="s">
        <v>150</v>
      </c>
      <c r="D2571" t="s">
        <v>35</v>
      </c>
      <c r="E2571" t="s">
        <v>169</v>
      </c>
      <c r="F2571" t="s">
        <v>739</v>
      </c>
      <c r="G2571">
        <v>-1569</v>
      </c>
      <c r="H2571" t="s">
        <v>153</v>
      </c>
      <c r="I2571" t="s">
        <v>164</v>
      </c>
    </row>
    <row r="2572" spans="1:9">
      <c r="A2572" s="49">
        <v>45771</v>
      </c>
      <c r="B2572" s="50">
        <v>0.4799074074074074</v>
      </c>
      <c r="C2572" t="s">
        <v>155</v>
      </c>
      <c r="D2572" t="s">
        <v>158</v>
      </c>
      <c r="E2572" t="s">
        <v>32</v>
      </c>
      <c r="F2572" t="s">
        <v>159</v>
      </c>
      <c r="G2572">
        <v>10000</v>
      </c>
      <c r="H2572" t="s">
        <v>153</v>
      </c>
      <c r="I2572" t="s">
        <v>157</v>
      </c>
    </row>
    <row r="2573" spans="1:9">
      <c r="A2573" s="49">
        <v>45771</v>
      </c>
      <c r="B2573" s="50">
        <v>0.02856481481481481</v>
      </c>
      <c r="C2573" t="s">
        <v>155</v>
      </c>
      <c r="D2573" t="s">
        <v>158</v>
      </c>
      <c r="E2573" t="s">
        <v>32</v>
      </c>
      <c r="F2573" t="s">
        <v>160</v>
      </c>
      <c r="G2573">
        <v>-12700</v>
      </c>
      <c r="H2573" t="s">
        <v>153</v>
      </c>
      <c r="I2573" t="s">
        <v>64</v>
      </c>
    </row>
    <row r="2574" spans="1:9">
      <c r="A2574" s="49">
        <v>45771</v>
      </c>
      <c r="B2574" s="50">
        <v>0.02856481481481481</v>
      </c>
      <c r="C2574" t="s">
        <v>150</v>
      </c>
      <c r="D2574" t="s">
        <v>48</v>
      </c>
      <c r="E2574" t="s">
        <v>185</v>
      </c>
      <c r="F2574" t="s">
        <v>715</v>
      </c>
      <c r="G2574">
        <v>-20000</v>
      </c>
      <c r="H2574" t="s">
        <v>153</v>
      </c>
      <c r="I2574" t="s">
        <v>164</v>
      </c>
    </row>
    <row r="2575" spans="1:9">
      <c r="A2575" s="49">
        <v>45771</v>
      </c>
      <c r="B2575" s="50">
        <v>0.02856481481481481</v>
      </c>
      <c r="C2575" t="s">
        <v>155</v>
      </c>
      <c r="D2575" t="s">
        <v>158</v>
      </c>
      <c r="E2575" t="s">
        <v>32</v>
      </c>
      <c r="F2575" t="s">
        <v>159</v>
      </c>
      <c r="G2575">
        <v>12700</v>
      </c>
      <c r="H2575" t="s">
        <v>153</v>
      </c>
      <c r="I2575" t="s">
        <v>157</v>
      </c>
    </row>
    <row r="2576" spans="1:9">
      <c r="A2576" s="49">
        <v>45770</v>
      </c>
      <c r="B2576" s="50">
        <v>0.6308333333333334</v>
      </c>
      <c r="C2576" t="s">
        <v>155</v>
      </c>
      <c r="D2576" t="s">
        <v>158</v>
      </c>
      <c r="E2576" t="s">
        <v>32</v>
      </c>
      <c r="F2576" t="s">
        <v>160</v>
      </c>
      <c r="G2576">
        <v>-10000</v>
      </c>
      <c r="H2576" t="s">
        <v>153</v>
      </c>
      <c r="I2576" t="s">
        <v>64</v>
      </c>
    </row>
    <row r="2577" spans="1:9">
      <c r="A2577" s="49">
        <v>45770</v>
      </c>
      <c r="B2577" s="50">
        <v>0.6308333333333334</v>
      </c>
      <c r="C2577" t="s">
        <v>150</v>
      </c>
      <c r="D2577" t="s">
        <v>35</v>
      </c>
      <c r="E2577" t="s">
        <v>169</v>
      </c>
      <c r="F2577" t="s">
        <v>739</v>
      </c>
      <c r="G2577">
        <v>-2700</v>
      </c>
      <c r="H2577" t="s">
        <v>153</v>
      </c>
      <c r="I2577" t="s">
        <v>164</v>
      </c>
    </row>
    <row r="2578" spans="1:9">
      <c r="A2578" s="49">
        <v>45770</v>
      </c>
      <c r="B2578" s="50">
        <v>0.6308333333333334</v>
      </c>
      <c r="C2578" t="s">
        <v>155</v>
      </c>
      <c r="D2578" t="s">
        <v>158</v>
      </c>
      <c r="E2578" t="s">
        <v>32</v>
      </c>
      <c r="F2578" t="s">
        <v>159</v>
      </c>
      <c r="G2578">
        <v>10000</v>
      </c>
      <c r="H2578" t="s">
        <v>153</v>
      </c>
      <c r="I2578" t="s">
        <v>157</v>
      </c>
    </row>
    <row r="2579" spans="1:9">
      <c r="A2579" s="49">
        <v>45770</v>
      </c>
      <c r="B2579" s="50">
        <v>0.592650462962963</v>
      </c>
      <c r="C2579" t="s">
        <v>155</v>
      </c>
      <c r="D2579" t="s">
        <v>155</v>
      </c>
      <c r="E2579" t="s">
        <v>32</v>
      </c>
      <c r="F2579" t="s">
        <v>160</v>
      </c>
      <c r="G2579">
        <v>-24125</v>
      </c>
      <c r="H2579" t="s">
        <v>153</v>
      </c>
      <c r="I2579" t="s">
        <v>64</v>
      </c>
    </row>
    <row r="2580" spans="1:9">
      <c r="A2580" s="49">
        <v>45770</v>
      </c>
      <c r="B2580" s="50">
        <v>0.5921412037037037</v>
      </c>
      <c r="C2580" t="s">
        <v>150</v>
      </c>
      <c r="D2580" t="s">
        <v>42</v>
      </c>
      <c r="E2580" t="s">
        <v>177</v>
      </c>
      <c r="F2580" t="s">
        <v>192</v>
      </c>
      <c r="G2580">
        <v>-67050</v>
      </c>
      <c r="H2580" t="s">
        <v>153</v>
      </c>
      <c r="I2580" t="s">
        <v>157</v>
      </c>
    </row>
    <row r="2581" spans="1:9">
      <c r="A2581" s="49">
        <v>45770</v>
      </c>
      <c r="B2581" s="50">
        <v>0.5921296296296297</v>
      </c>
      <c r="C2581" t="s">
        <v>155</v>
      </c>
      <c r="D2581" t="s">
        <v>158</v>
      </c>
      <c r="E2581" t="s">
        <v>32</v>
      </c>
      <c r="F2581" t="s">
        <v>160</v>
      </c>
      <c r="G2581">
        <v>-60966</v>
      </c>
      <c r="H2581" t="s">
        <v>153</v>
      </c>
      <c r="I2581" t="s">
        <v>64</v>
      </c>
    </row>
    <row r="2582" spans="1:9">
      <c r="A2582" s="49">
        <v>45770</v>
      </c>
      <c r="B2582" s="50">
        <v>0.5921296296296297</v>
      </c>
      <c r="C2582" t="s">
        <v>155</v>
      </c>
      <c r="D2582" t="s">
        <v>158</v>
      </c>
      <c r="E2582" t="s">
        <v>32</v>
      </c>
      <c r="F2582" t="s">
        <v>159</v>
      </c>
      <c r="G2582">
        <v>60966</v>
      </c>
      <c r="H2582" t="s">
        <v>153</v>
      </c>
      <c r="I2582" t="s">
        <v>157</v>
      </c>
    </row>
    <row r="2583" spans="1:9">
      <c r="A2583" s="49">
        <v>45769</v>
      </c>
      <c r="B2583" s="50">
        <v>0.7807407407407407</v>
      </c>
      <c r="C2583" t="s">
        <v>150</v>
      </c>
      <c r="D2583" t="s">
        <v>40</v>
      </c>
      <c r="E2583" t="s">
        <v>172</v>
      </c>
      <c r="F2583" t="s">
        <v>1047</v>
      </c>
      <c r="G2583">
        <v>-2900</v>
      </c>
      <c r="H2583" t="s">
        <v>153</v>
      </c>
      <c r="I2583" t="s">
        <v>214</v>
      </c>
    </row>
    <row r="2584" spans="1:9">
      <c r="A2584" s="49">
        <v>45769</v>
      </c>
      <c r="B2584" s="50">
        <v>0.7457291666666667</v>
      </c>
      <c r="C2584" t="s">
        <v>167</v>
      </c>
      <c r="D2584" t="s">
        <v>31</v>
      </c>
      <c r="E2584" t="s">
        <v>32</v>
      </c>
      <c r="F2584" t="s">
        <v>168</v>
      </c>
      <c r="G2584">
        <v>3000</v>
      </c>
      <c r="H2584" t="s">
        <v>153</v>
      </c>
      <c r="I2584" t="s">
        <v>64</v>
      </c>
    </row>
    <row r="2585" spans="1:9">
      <c r="A2585" s="49">
        <v>45769</v>
      </c>
      <c r="B2585" s="50">
        <v>0.7457175925925926</v>
      </c>
      <c r="C2585" t="s">
        <v>150</v>
      </c>
      <c r="D2585" t="s">
        <v>35</v>
      </c>
      <c r="E2585" t="s">
        <v>169</v>
      </c>
      <c r="F2585" t="s">
        <v>170</v>
      </c>
      <c r="G2585">
        <v>-1380</v>
      </c>
      <c r="H2585" t="s">
        <v>153</v>
      </c>
      <c r="I2585" t="s">
        <v>171</v>
      </c>
    </row>
    <row r="2586" spans="1:9">
      <c r="A2586" s="49">
        <v>45769</v>
      </c>
      <c r="B2586" s="50">
        <v>0.7415972222222222</v>
      </c>
      <c r="C2586" t="s">
        <v>150</v>
      </c>
      <c r="D2586" t="s">
        <v>40</v>
      </c>
      <c r="E2586" t="s">
        <v>172</v>
      </c>
      <c r="F2586" t="s">
        <v>173</v>
      </c>
      <c r="G2586">
        <v>-3000</v>
      </c>
      <c r="H2586" t="s">
        <v>153</v>
      </c>
      <c r="I2586" t="s">
        <v>64</v>
      </c>
    </row>
    <row r="2587" spans="1:9">
      <c r="A2587" s="49">
        <v>45769</v>
      </c>
      <c r="B2587" s="50">
        <v>0.7415972222222222</v>
      </c>
      <c r="C2587" t="s">
        <v>150</v>
      </c>
      <c r="D2587" t="s">
        <v>35</v>
      </c>
      <c r="E2587" t="s">
        <v>169</v>
      </c>
      <c r="F2587" t="s">
        <v>170</v>
      </c>
      <c r="G2587">
        <v>3000</v>
      </c>
      <c r="H2587" t="s">
        <v>153</v>
      </c>
      <c r="I2587" t="s">
        <v>171</v>
      </c>
    </row>
    <row r="2588" spans="1:9">
      <c r="A2588" s="49">
        <v>45768</v>
      </c>
      <c r="B2588" s="50">
        <v>0.9360069444444444</v>
      </c>
      <c r="C2588" t="s">
        <v>150</v>
      </c>
      <c r="D2588" t="s">
        <v>42</v>
      </c>
      <c r="E2588" t="s">
        <v>177</v>
      </c>
      <c r="F2588" t="s">
        <v>1048</v>
      </c>
      <c r="G2588">
        <v>-6000</v>
      </c>
      <c r="H2588" t="s">
        <v>153</v>
      </c>
      <c r="I2588" t="s">
        <v>214</v>
      </c>
    </row>
    <row r="2589" spans="1:9">
      <c r="A2589" s="49">
        <v>45768</v>
      </c>
      <c r="B2589" s="50">
        <v>0.7625</v>
      </c>
      <c r="C2589" t="s">
        <v>150</v>
      </c>
      <c r="D2589" t="s">
        <v>43</v>
      </c>
      <c r="E2589" t="s">
        <v>644</v>
      </c>
      <c r="F2589" t="s">
        <v>1049</v>
      </c>
      <c r="G2589">
        <v>-32990</v>
      </c>
      <c r="H2589" t="s">
        <v>153</v>
      </c>
      <c r="I2589" t="s">
        <v>64</v>
      </c>
    </row>
    <row r="2590" spans="1:9">
      <c r="A2590" s="49">
        <v>45768</v>
      </c>
      <c r="B2590" s="50">
        <v>0.7608449074074074</v>
      </c>
      <c r="C2590" t="s">
        <v>150</v>
      </c>
      <c r="D2590" t="s">
        <v>48</v>
      </c>
      <c r="E2590" t="s">
        <v>185</v>
      </c>
      <c r="F2590" t="s">
        <v>823</v>
      </c>
      <c r="G2590">
        <v>-13600</v>
      </c>
      <c r="H2590" t="s">
        <v>153</v>
      </c>
      <c r="I2590" t="s">
        <v>214</v>
      </c>
    </row>
    <row r="2591" spans="1:9">
      <c r="A2591" s="49">
        <v>45768</v>
      </c>
      <c r="B2591" s="50">
        <v>0.621875</v>
      </c>
      <c r="C2591" t="s">
        <v>150</v>
      </c>
      <c r="D2591" t="s">
        <v>35</v>
      </c>
      <c r="E2591" t="s">
        <v>174</v>
      </c>
      <c r="F2591" t="s">
        <v>314</v>
      </c>
      <c r="G2591">
        <v>-10000</v>
      </c>
      <c r="H2591" t="s">
        <v>153</v>
      </c>
      <c r="I2591" t="s">
        <v>64</v>
      </c>
    </row>
    <row r="2592" spans="1:9">
      <c r="A2592" s="49">
        <v>45767</v>
      </c>
      <c r="B2592" s="50">
        <v>0.8719791666666666</v>
      </c>
      <c r="C2592" t="s">
        <v>155</v>
      </c>
      <c r="D2592" t="s">
        <v>155</v>
      </c>
      <c r="E2592" t="s">
        <v>32</v>
      </c>
      <c r="F2592" t="s">
        <v>1050</v>
      </c>
      <c r="G2592">
        <v>-2000</v>
      </c>
      <c r="H2592" t="s">
        <v>153</v>
      </c>
      <c r="I2592" t="s">
        <v>64</v>
      </c>
    </row>
    <row r="2593" spans="1:9">
      <c r="A2593" s="49">
        <v>45767</v>
      </c>
      <c r="B2593" s="50">
        <v>0.7408564814814815</v>
      </c>
      <c r="C2593" t="s">
        <v>150</v>
      </c>
      <c r="D2593" t="s">
        <v>35</v>
      </c>
      <c r="E2593" t="s">
        <v>169</v>
      </c>
      <c r="F2593" t="s">
        <v>739</v>
      </c>
      <c r="G2593">
        <v>-1408</v>
      </c>
      <c r="H2593" t="s">
        <v>153</v>
      </c>
      <c r="I2593" t="s">
        <v>164</v>
      </c>
    </row>
    <row r="2594" spans="1:9">
      <c r="A2594" s="49">
        <v>45767</v>
      </c>
      <c r="B2594" s="50">
        <v>0.5539467592592593</v>
      </c>
      <c r="C2594" t="s">
        <v>150</v>
      </c>
      <c r="D2594" t="s">
        <v>48</v>
      </c>
      <c r="E2594" t="s">
        <v>185</v>
      </c>
      <c r="F2594" t="s">
        <v>186</v>
      </c>
      <c r="G2594">
        <v>-12000</v>
      </c>
      <c r="H2594" t="s">
        <v>153</v>
      </c>
      <c r="I2594" t="s">
        <v>214</v>
      </c>
    </row>
    <row r="2595" spans="1:9">
      <c r="A2595" s="49">
        <v>45767</v>
      </c>
      <c r="B2595" s="50">
        <v>0.5462615740740741</v>
      </c>
      <c r="C2595" t="s">
        <v>167</v>
      </c>
      <c r="D2595" t="s">
        <v>31</v>
      </c>
      <c r="E2595" t="s">
        <v>32</v>
      </c>
      <c r="F2595" t="s">
        <v>168</v>
      </c>
      <c r="G2595">
        <v>3000</v>
      </c>
      <c r="H2595" t="s">
        <v>153</v>
      </c>
      <c r="I2595" t="s">
        <v>64</v>
      </c>
    </row>
    <row r="2596" spans="1:9">
      <c r="A2596" s="49">
        <v>45767</v>
      </c>
      <c r="B2596" s="50">
        <v>0.54625</v>
      </c>
      <c r="C2596" t="s">
        <v>150</v>
      </c>
      <c r="D2596" t="s">
        <v>35</v>
      </c>
      <c r="E2596" t="s">
        <v>169</v>
      </c>
      <c r="F2596" t="s">
        <v>170</v>
      </c>
      <c r="G2596">
        <v>-920</v>
      </c>
      <c r="H2596" t="s">
        <v>153</v>
      </c>
      <c r="I2596" t="s">
        <v>171</v>
      </c>
    </row>
    <row r="2597" spans="1:9">
      <c r="A2597" s="49">
        <v>45767</v>
      </c>
      <c r="B2597" s="50">
        <v>0.5436921296296297</v>
      </c>
      <c r="C2597" t="s">
        <v>150</v>
      </c>
      <c r="D2597" t="s">
        <v>35</v>
      </c>
      <c r="E2597" t="s">
        <v>169</v>
      </c>
      <c r="F2597" t="s">
        <v>170</v>
      </c>
      <c r="G2597">
        <v>3000</v>
      </c>
      <c r="H2597" t="s">
        <v>153</v>
      </c>
      <c r="I2597" t="s">
        <v>171</v>
      </c>
    </row>
    <row r="2598" spans="1:9">
      <c r="A2598" s="49">
        <v>45767</v>
      </c>
      <c r="B2598" s="50">
        <v>0.5436805555555555</v>
      </c>
      <c r="C2598" t="s">
        <v>150</v>
      </c>
      <c r="D2598" t="s">
        <v>40</v>
      </c>
      <c r="E2598" t="s">
        <v>172</v>
      </c>
      <c r="F2598" t="s">
        <v>173</v>
      </c>
      <c r="G2598">
        <v>-3000</v>
      </c>
      <c r="H2598" t="s">
        <v>153</v>
      </c>
      <c r="I2598" t="s">
        <v>64</v>
      </c>
    </row>
    <row r="2599" spans="1:9">
      <c r="A2599" s="49">
        <v>45766</v>
      </c>
      <c r="B2599" s="50">
        <v>0.7694444444444445</v>
      </c>
      <c r="C2599" t="s">
        <v>150</v>
      </c>
      <c r="D2599" t="s">
        <v>42</v>
      </c>
      <c r="E2599" t="s">
        <v>463</v>
      </c>
      <c r="F2599" t="s">
        <v>1051</v>
      </c>
      <c r="G2599">
        <v>-39000</v>
      </c>
      <c r="H2599" t="s">
        <v>153</v>
      </c>
      <c r="I2599" t="s">
        <v>214</v>
      </c>
    </row>
    <row r="2600" spans="1:9">
      <c r="A2600" s="49">
        <v>45766</v>
      </c>
      <c r="B2600" s="50">
        <v>0.6075231481481481</v>
      </c>
      <c r="C2600" t="s">
        <v>155</v>
      </c>
      <c r="D2600" t="s">
        <v>158</v>
      </c>
      <c r="E2600" t="s">
        <v>32</v>
      </c>
      <c r="F2600" t="s">
        <v>160</v>
      </c>
      <c r="G2600">
        <v>-10000</v>
      </c>
      <c r="H2600" t="s">
        <v>153</v>
      </c>
      <c r="I2600" t="s">
        <v>64</v>
      </c>
    </row>
    <row r="2601" spans="1:9">
      <c r="A2601" s="49">
        <v>45766</v>
      </c>
      <c r="B2601" s="50">
        <v>0.6075231481481481</v>
      </c>
      <c r="C2601" t="s">
        <v>150</v>
      </c>
      <c r="D2601" t="s">
        <v>35</v>
      </c>
      <c r="E2601" t="s">
        <v>169</v>
      </c>
      <c r="F2601" t="s">
        <v>739</v>
      </c>
      <c r="G2601">
        <v>-2510</v>
      </c>
      <c r="H2601" t="s">
        <v>153</v>
      </c>
      <c r="I2601" t="s">
        <v>164</v>
      </c>
    </row>
    <row r="2602" spans="1:9">
      <c r="A2602" s="49">
        <v>45766</v>
      </c>
      <c r="B2602" s="50">
        <v>0.6075231481481481</v>
      </c>
      <c r="C2602" t="s">
        <v>155</v>
      </c>
      <c r="D2602" t="s">
        <v>158</v>
      </c>
      <c r="E2602" t="s">
        <v>32</v>
      </c>
      <c r="F2602" t="s">
        <v>159</v>
      </c>
      <c r="G2602">
        <v>10000</v>
      </c>
      <c r="H2602" t="s">
        <v>153</v>
      </c>
      <c r="I2602" t="s">
        <v>157</v>
      </c>
    </row>
    <row r="2603" spans="1:9">
      <c r="A2603" s="49">
        <v>45766</v>
      </c>
      <c r="B2603" s="50">
        <v>0.5341203703703704</v>
      </c>
      <c r="C2603" t="s">
        <v>150</v>
      </c>
      <c r="D2603" t="s">
        <v>45</v>
      </c>
      <c r="E2603" t="s">
        <v>1052</v>
      </c>
      <c r="F2603" t="s">
        <v>1053</v>
      </c>
      <c r="G2603">
        <v>-150000</v>
      </c>
      <c r="H2603" t="s">
        <v>153</v>
      </c>
      <c r="I2603" t="s">
        <v>214</v>
      </c>
    </row>
    <row r="2604" spans="1:9">
      <c r="A2604" s="49">
        <v>45766</v>
      </c>
      <c r="B2604" s="50">
        <v>0.2810995370370371</v>
      </c>
      <c r="C2604" t="s">
        <v>155</v>
      </c>
      <c r="D2604" t="s">
        <v>158</v>
      </c>
      <c r="E2604" t="s">
        <v>32</v>
      </c>
      <c r="F2604" t="s">
        <v>160</v>
      </c>
      <c r="G2604">
        <v>-14731</v>
      </c>
      <c r="H2604" t="s">
        <v>153</v>
      </c>
      <c r="I2604" t="s">
        <v>64</v>
      </c>
    </row>
    <row r="2605" spans="1:9">
      <c r="A2605" s="49">
        <v>45766</v>
      </c>
      <c r="B2605" s="50">
        <v>0.2810995370370371</v>
      </c>
      <c r="C2605" t="s">
        <v>150</v>
      </c>
      <c r="D2605" t="s">
        <v>44</v>
      </c>
      <c r="E2605" t="s">
        <v>315</v>
      </c>
      <c r="F2605" t="s">
        <v>316</v>
      </c>
      <c r="G2605">
        <v>-23000</v>
      </c>
      <c r="H2605" t="s">
        <v>153</v>
      </c>
      <c r="I2605" t="s">
        <v>164</v>
      </c>
    </row>
    <row r="2606" spans="1:9">
      <c r="A2606" s="49">
        <v>45766</v>
      </c>
      <c r="B2606" s="50">
        <v>0.2810995370370371</v>
      </c>
      <c r="C2606" t="s">
        <v>155</v>
      </c>
      <c r="D2606" t="s">
        <v>158</v>
      </c>
      <c r="E2606" t="s">
        <v>32</v>
      </c>
      <c r="F2606" t="s">
        <v>159</v>
      </c>
      <c r="G2606">
        <v>14731</v>
      </c>
      <c r="H2606" t="s">
        <v>153</v>
      </c>
      <c r="I2606" t="s">
        <v>157</v>
      </c>
    </row>
    <row r="2607" spans="1:9">
      <c r="A2607" s="49">
        <v>45766</v>
      </c>
      <c r="B2607" s="50">
        <v>0.2709606481481481</v>
      </c>
      <c r="C2607" t="s">
        <v>150</v>
      </c>
      <c r="D2607" t="s">
        <v>37</v>
      </c>
      <c r="E2607" t="s">
        <v>201</v>
      </c>
      <c r="F2607" t="s">
        <v>1054</v>
      </c>
      <c r="G2607">
        <v>-6655</v>
      </c>
      <c r="H2607" t="s">
        <v>153</v>
      </c>
      <c r="I2607" t="s">
        <v>214</v>
      </c>
    </row>
    <row r="2608" spans="1:9">
      <c r="A2608" s="49">
        <v>45766</v>
      </c>
      <c r="B2608" s="50">
        <v>0.1028935185185185</v>
      </c>
      <c r="C2608" t="s">
        <v>150</v>
      </c>
      <c r="D2608" t="s">
        <v>49</v>
      </c>
      <c r="E2608" t="s">
        <v>304</v>
      </c>
      <c r="F2608" t="s">
        <v>1055</v>
      </c>
      <c r="G2608">
        <v>-43262</v>
      </c>
      <c r="H2608" t="s">
        <v>153</v>
      </c>
      <c r="I2608" t="s">
        <v>214</v>
      </c>
    </row>
    <row r="2609" spans="1:9">
      <c r="A2609" s="49">
        <v>45765</v>
      </c>
      <c r="B2609" s="50">
        <v>0.782974537037037</v>
      </c>
      <c r="C2609" t="s">
        <v>150</v>
      </c>
      <c r="D2609" t="s">
        <v>35</v>
      </c>
      <c r="E2609" t="s">
        <v>169</v>
      </c>
      <c r="F2609" t="s">
        <v>739</v>
      </c>
      <c r="G2609">
        <v>-1731</v>
      </c>
      <c r="H2609" t="s">
        <v>153</v>
      </c>
      <c r="I2609" t="s">
        <v>164</v>
      </c>
    </row>
    <row r="2610" spans="1:9">
      <c r="A2610" s="49">
        <v>45765</v>
      </c>
      <c r="B2610" s="50">
        <v>0.782974537037037</v>
      </c>
      <c r="C2610" t="s">
        <v>155</v>
      </c>
      <c r="D2610" t="s">
        <v>158</v>
      </c>
      <c r="E2610" t="s">
        <v>32</v>
      </c>
      <c r="F2610" t="s">
        <v>159</v>
      </c>
      <c r="G2610">
        <v>10000</v>
      </c>
      <c r="H2610" t="s">
        <v>153</v>
      </c>
      <c r="I2610" t="s">
        <v>157</v>
      </c>
    </row>
    <row r="2611" spans="1:9">
      <c r="A2611" s="49">
        <v>45765</v>
      </c>
      <c r="B2611" s="50">
        <v>0.782974537037037</v>
      </c>
      <c r="C2611" t="s">
        <v>155</v>
      </c>
      <c r="D2611" t="s">
        <v>158</v>
      </c>
      <c r="E2611" t="s">
        <v>32</v>
      </c>
      <c r="F2611" t="s">
        <v>160</v>
      </c>
      <c r="G2611">
        <v>-10000</v>
      </c>
      <c r="H2611" t="s">
        <v>153</v>
      </c>
      <c r="I2611" t="s">
        <v>64</v>
      </c>
    </row>
    <row r="2612" spans="1:9">
      <c r="A2612" s="49">
        <v>45765</v>
      </c>
      <c r="B2612" s="50">
        <v>0.6224652777777778</v>
      </c>
      <c r="C2612" t="s">
        <v>155</v>
      </c>
      <c r="D2612" t="s">
        <v>229</v>
      </c>
      <c r="E2612" t="s">
        <v>32</v>
      </c>
      <c r="F2612" t="s">
        <v>432</v>
      </c>
      <c r="G2612">
        <v>1912060</v>
      </c>
      <c r="H2612" t="s">
        <v>153</v>
      </c>
      <c r="I2612" t="s">
        <v>64</v>
      </c>
    </row>
    <row r="2613" spans="1:9">
      <c r="A2613" s="49">
        <v>45765</v>
      </c>
      <c r="B2613" s="50">
        <v>0.5319328703703704</v>
      </c>
      <c r="C2613" t="s">
        <v>150</v>
      </c>
      <c r="D2613" t="s">
        <v>48</v>
      </c>
      <c r="E2613" t="s">
        <v>185</v>
      </c>
      <c r="F2613" t="s">
        <v>1056</v>
      </c>
      <c r="G2613">
        <v>-4000</v>
      </c>
      <c r="H2613" t="s">
        <v>153</v>
      </c>
      <c r="I2613" t="s">
        <v>214</v>
      </c>
    </row>
    <row r="2614" spans="1:9">
      <c r="A2614" s="49">
        <v>45765</v>
      </c>
      <c r="B2614" s="50">
        <v>0.4872685185185185</v>
      </c>
      <c r="C2614" t="s">
        <v>155</v>
      </c>
      <c r="D2614" t="s">
        <v>155</v>
      </c>
      <c r="E2614" t="s">
        <v>32</v>
      </c>
      <c r="F2614" t="s">
        <v>160</v>
      </c>
      <c r="G2614">
        <v>-100000</v>
      </c>
      <c r="H2614" t="s">
        <v>153</v>
      </c>
      <c r="I2614" t="s">
        <v>64</v>
      </c>
    </row>
    <row r="2615" spans="1:9">
      <c r="A2615" s="49">
        <v>45765</v>
      </c>
      <c r="B2615" s="50">
        <v>0.4864583333333333</v>
      </c>
      <c r="C2615" t="s">
        <v>167</v>
      </c>
      <c r="D2615" t="s">
        <v>31</v>
      </c>
      <c r="E2615" t="s">
        <v>32</v>
      </c>
      <c r="F2615" t="s">
        <v>168</v>
      </c>
      <c r="G2615">
        <v>3000</v>
      </c>
      <c r="H2615" t="s">
        <v>153</v>
      </c>
      <c r="I2615" t="s">
        <v>64</v>
      </c>
    </row>
    <row r="2616" spans="1:9">
      <c r="A2616" s="49">
        <v>45765</v>
      </c>
      <c r="B2616" s="50">
        <v>0.4864467592592592</v>
      </c>
      <c r="C2616" t="s">
        <v>150</v>
      </c>
      <c r="D2616" t="s">
        <v>35</v>
      </c>
      <c r="E2616" t="s">
        <v>169</v>
      </c>
      <c r="F2616" t="s">
        <v>170</v>
      </c>
      <c r="G2616">
        <v>-1380</v>
      </c>
      <c r="H2616" t="s">
        <v>153</v>
      </c>
      <c r="I2616" t="s">
        <v>171</v>
      </c>
    </row>
    <row r="2617" spans="1:9">
      <c r="A2617" s="49">
        <v>45765</v>
      </c>
      <c r="B2617" s="50">
        <v>0.4826273148148148</v>
      </c>
      <c r="C2617" t="s">
        <v>150</v>
      </c>
      <c r="D2617" t="s">
        <v>35</v>
      </c>
      <c r="E2617" t="s">
        <v>169</v>
      </c>
      <c r="F2617" t="s">
        <v>170</v>
      </c>
      <c r="G2617">
        <v>3000</v>
      </c>
      <c r="H2617" t="s">
        <v>153</v>
      </c>
      <c r="I2617" t="s">
        <v>171</v>
      </c>
    </row>
    <row r="2618" spans="1:9">
      <c r="A2618" s="49">
        <v>45765</v>
      </c>
      <c r="B2618" s="50">
        <v>0.4826273148148148</v>
      </c>
      <c r="C2618" t="s">
        <v>150</v>
      </c>
      <c r="D2618" t="s">
        <v>40</v>
      </c>
      <c r="E2618" t="s">
        <v>172</v>
      </c>
      <c r="F2618" t="s">
        <v>173</v>
      </c>
      <c r="G2618">
        <v>-3000</v>
      </c>
      <c r="H2618" t="s">
        <v>153</v>
      </c>
      <c r="I2618" t="s">
        <v>64</v>
      </c>
    </row>
    <row r="2619" spans="1:9">
      <c r="A2619" s="49">
        <v>45764</v>
      </c>
      <c r="B2619" s="50">
        <v>0.801400462962963</v>
      </c>
      <c r="C2619" t="s">
        <v>150</v>
      </c>
      <c r="D2619" t="s">
        <v>35</v>
      </c>
      <c r="E2619" t="s">
        <v>169</v>
      </c>
      <c r="F2619" t="s">
        <v>170</v>
      </c>
      <c r="G2619">
        <v>-1150</v>
      </c>
      <c r="H2619" t="s">
        <v>153</v>
      </c>
      <c r="I2619" t="s">
        <v>171</v>
      </c>
    </row>
    <row r="2620" spans="1:9">
      <c r="A2620" s="49">
        <v>45764</v>
      </c>
      <c r="B2620" s="50">
        <v>0.801400462962963</v>
      </c>
      <c r="C2620" t="s">
        <v>167</v>
      </c>
      <c r="D2620" t="s">
        <v>31</v>
      </c>
      <c r="E2620" t="s">
        <v>32</v>
      </c>
      <c r="F2620" t="s">
        <v>168</v>
      </c>
      <c r="G2620">
        <v>3000</v>
      </c>
      <c r="H2620" t="s">
        <v>153</v>
      </c>
      <c r="I2620" t="s">
        <v>64</v>
      </c>
    </row>
    <row r="2621" spans="1:9">
      <c r="A2621" s="49">
        <v>45764</v>
      </c>
      <c r="B2621" s="50">
        <v>0.7980902777777777</v>
      </c>
      <c r="C2621" t="s">
        <v>150</v>
      </c>
      <c r="D2621" t="s">
        <v>35</v>
      </c>
      <c r="E2621" t="s">
        <v>169</v>
      </c>
      <c r="F2621" t="s">
        <v>170</v>
      </c>
      <c r="G2621">
        <v>3000</v>
      </c>
      <c r="H2621" t="s">
        <v>153</v>
      </c>
      <c r="I2621" t="s">
        <v>171</v>
      </c>
    </row>
    <row r="2622" spans="1:9">
      <c r="A2622" s="49">
        <v>45764</v>
      </c>
      <c r="B2622" s="50">
        <v>0.7980787037037037</v>
      </c>
      <c r="C2622" t="s">
        <v>150</v>
      </c>
      <c r="D2622" t="s">
        <v>40</v>
      </c>
      <c r="E2622" t="s">
        <v>172</v>
      </c>
      <c r="F2622" t="s">
        <v>173</v>
      </c>
      <c r="G2622">
        <v>-3000</v>
      </c>
      <c r="H2622" t="s">
        <v>153</v>
      </c>
      <c r="I2622" t="s">
        <v>64</v>
      </c>
    </row>
    <row r="2623" spans="1:9">
      <c r="A2623" s="49">
        <v>45764</v>
      </c>
      <c r="B2623" s="50">
        <v>0.6272106481481482</v>
      </c>
      <c r="C2623" t="s">
        <v>150</v>
      </c>
      <c r="D2623" t="s">
        <v>35</v>
      </c>
      <c r="E2623" t="s">
        <v>174</v>
      </c>
      <c r="F2623" t="s">
        <v>314</v>
      </c>
      <c r="G2623">
        <v>-20000</v>
      </c>
      <c r="H2623" t="s">
        <v>153</v>
      </c>
      <c r="I2623" t="s">
        <v>64</v>
      </c>
    </row>
    <row r="2624" spans="1:9">
      <c r="A2624" s="49">
        <v>45764</v>
      </c>
      <c r="B2624" s="50">
        <v>0.5562962962962963</v>
      </c>
      <c r="C2624" t="s">
        <v>150</v>
      </c>
      <c r="D2624" t="s">
        <v>42</v>
      </c>
      <c r="E2624" t="s">
        <v>177</v>
      </c>
      <c r="F2624" t="s">
        <v>520</v>
      </c>
      <c r="G2624">
        <v>-57000</v>
      </c>
      <c r="H2624" t="s">
        <v>153</v>
      </c>
      <c r="I2624" t="s">
        <v>214</v>
      </c>
    </row>
    <row r="2625" spans="1:9">
      <c r="A2625" s="49">
        <v>45763</v>
      </c>
      <c r="B2625" s="50">
        <v>0.8415046296296296</v>
      </c>
      <c r="C2625" t="s">
        <v>150</v>
      </c>
      <c r="D2625" t="s">
        <v>37</v>
      </c>
      <c r="E2625" t="s">
        <v>438</v>
      </c>
      <c r="F2625" t="s">
        <v>1057</v>
      </c>
      <c r="G2625">
        <v>-15000</v>
      </c>
      <c r="H2625" t="s">
        <v>153</v>
      </c>
      <c r="I2625" t="s">
        <v>214</v>
      </c>
    </row>
    <row r="2626" spans="1:9">
      <c r="A2626" s="49">
        <v>45763</v>
      </c>
      <c r="B2626" s="50">
        <v>0.7985532407407407</v>
      </c>
      <c r="C2626" t="s">
        <v>155</v>
      </c>
      <c r="D2626" t="s">
        <v>158</v>
      </c>
      <c r="E2626" t="s">
        <v>32</v>
      </c>
      <c r="F2626" t="s">
        <v>160</v>
      </c>
      <c r="G2626">
        <v>-11925</v>
      </c>
      <c r="H2626" t="s">
        <v>153</v>
      </c>
      <c r="I2626" t="s">
        <v>64</v>
      </c>
    </row>
    <row r="2627" spans="1:9">
      <c r="A2627" s="49">
        <v>45763</v>
      </c>
      <c r="B2627" s="50">
        <v>0.7985532407407407</v>
      </c>
      <c r="C2627" t="s">
        <v>150</v>
      </c>
      <c r="D2627" t="s">
        <v>39</v>
      </c>
      <c r="E2627" t="s">
        <v>621</v>
      </c>
      <c r="F2627" t="s">
        <v>710</v>
      </c>
      <c r="G2627">
        <v>-14900</v>
      </c>
      <c r="H2627" t="s">
        <v>153</v>
      </c>
      <c r="I2627" t="s">
        <v>164</v>
      </c>
    </row>
    <row r="2628" spans="1:9">
      <c r="A2628" s="49">
        <v>45763</v>
      </c>
      <c r="B2628" s="50">
        <v>0.7985532407407407</v>
      </c>
      <c r="C2628" t="s">
        <v>155</v>
      </c>
      <c r="D2628" t="s">
        <v>158</v>
      </c>
      <c r="E2628" t="s">
        <v>32</v>
      </c>
      <c r="F2628" t="s">
        <v>159</v>
      </c>
      <c r="G2628">
        <v>11925</v>
      </c>
      <c r="H2628" t="s">
        <v>153</v>
      </c>
      <c r="I2628" t="s">
        <v>157</v>
      </c>
    </row>
    <row r="2629" spans="1:9">
      <c r="A2629" s="49">
        <v>45763</v>
      </c>
      <c r="B2629" s="50">
        <v>0.7950115740740741</v>
      </c>
      <c r="C2629" t="s">
        <v>150</v>
      </c>
      <c r="D2629" t="s">
        <v>40</v>
      </c>
      <c r="E2629" t="s">
        <v>172</v>
      </c>
      <c r="F2629" t="s">
        <v>1058</v>
      </c>
      <c r="G2629">
        <v>-1130</v>
      </c>
      <c r="H2629" t="s">
        <v>153</v>
      </c>
      <c r="I2629" t="s">
        <v>164</v>
      </c>
    </row>
    <row r="2630" spans="1:9">
      <c r="A2630" s="49">
        <v>45763</v>
      </c>
      <c r="B2630" s="50">
        <v>0.6348495370370371</v>
      </c>
      <c r="C2630" t="s">
        <v>155</v>
      </c>
      <c r="D2630" t="s">
        <v>155</v>
      </c>
      <c r="E2630" t="s">
        <v>32</v>
      </c>
      <c r="F2630" t="s">
        <v>262</v>
      </c>
      <c r="G2630">
        <v>300000</v>
      </c>
      <c r="H2630" t="s">
        <v>153</v>
      </c>
      <c r="I2630" t="s">
        <v>64</v>
      </c>
    </row>
    <row r="2631" spans="1:9">
      <c r="A2631" s="49">
        <v>45763</v>
      </c>
      <c r="B2631" s="50">
        <v>0.6074189814814814</v>
      </c>
      <c r="C2631" t="s">
        <v>150</v>
      </c>
      <c r="D2631" t="s">
        <v>48</v>
      </c>
      <c r="E2631" t="s">
        <v>185</v>
      </c>
      <c r="F2631" t="s">
        <v>1059</v>
      </c>
      <c r="G2631">
        <v>-14000</v>
      </c>
      <c r="H2631" t="s">
        <v>153</v>
      </c>
      <c r="I2631" t="s">
        <v>214</v>
      </c>
    </row>
    <row r="2632" spans="1:9">
      <c r="A2632" s="49">
        <v>45763</v>
      </c>
      <c r="B2632" s="50">
        <v>0.6027893518518519</v>
      </c>
      <c r="C2632" t="s">
        <v>150</v>
      </c>
      <c r="D2632" t="s">
        <v>49</v>
      </c>
      <c r="E2632" t="s">
        <v>304</v>
      </c>
      <c r="F2632" t="s">
        <v>1060</v>
      </c>
      <c r="G2632">
        <v>-25000</v>
      </c>
      <c r="H2632" t="s">
        <v>153</v>
      </c>
      <c r="I2632" t="s">
        <v>214</v>
      </c>
    </row>
    <row r="2633" spans="1:9">
      <c r="A2633" s="49">
        <v>45763</v>
      </c>
      <c r="B2633" s="50">
        <v>0.5604976851851852</v>
      </c>
      <c r="C2633" t="s">
        <v>150</v>
      </c>
      <c r="D2633" t="s">
        <v>42</v>
      </c>
      <c r="E2633" t="s">
        <v>582</v>
      </c>
      <c r="F2633" t="s">
        <v>1061</v>
      </c>
      <c r="G2633">
        <v>-16000</v>
      </c>
      <c r="H2633" t="s">
        <v>153</v>
      </c>
      <c r="I2633" t="s">
        <v>214</v>
      </c>
    </row>
    <row r="2634" spans="1:9">
      <c r="A2634" s="49">
        <v>45763</v>
      </c>
      <c r="B2634" s="50">
        <v>0.5438773148148148</v>
      </c>
      <c r="C2634" t="s">
        <v>167</v>
      </c>
      <c r="D2634" t="s">
        <v>31</v>
      </c>
      <c r="E2634" t="s">
        <v>32</v>
      </c>
      <c r="F2634" t="s">
        <v>168</v>
      </c>
      <c r="G2634">
        <v>3000</v>
      </c>
      <c r="H2634" t="s">
        <v>153</v>
      </c>
      <c r="I2634" t="s">
        <v>64</v>
      </c>
    </row>
    <row r="2635" spans="1:9">
      <c r="A2635" s="49">
        <v>45763</v>
      </c>
      <c r="B2635" s="50">
        <v>0.5438657407407408</v>
      </c>
      <c r="C2635" t="s">
        <v>150</v>
      </c>
      <c r="D2635" t="s">
        <v>35</v>
      </c>
      <c r="E2635" t="s">
        <v>169</v>
      </c>
      <c r="F2635" t="s">
        <v>170</v>
      </c>
      <c r="G2635">
        <v>-1150</v>
      </c>
      <c r="H2635" t="s">
        <v>153</v>
      </c>
      <c r="I2635" t="s">
        <v>171</v>
      </c>
    </row>
    <row r="2636" spans="1:9">
      <c r="A2636" s="49">
        <v>45763</v>
      </c>
      <c r="B2636" s="50">
        <v>0.5407523148148148</v>
      </c>
      <c r="C2636" t="s">
        <v>150</v>
      </c>
      <c r="D2636" t="s">
        <v>35</v>
      </c>
      <c r="E2636" t="s">
        <v>169</v>
      </c>
      <c r="F2636" t="s">
        <v>170</v>
      </c>
      <c r="G2636">
        <v>3000</v>
      </c>
      <c r="H2636" t="s">
        <v>153</v>
      </c>
      <c r="I2636" t="s">
        <v>171</v>
      </c>
    </row>
    <row r="2637" spans="1:9">
      <c r="A2637" s="49">
        <v>45763</v>
      </c>
      <c r="B2637" s="50">
        <v>0.5407407407407407</v>
      </c>
      <c r="C2637" t="s">
        <v>150</v>
      </c>
      <c r="D2637" t="s">
        <v>40</v>
      </c>
      <c r="E2637" t="s">
        <v>172</v>
      </c>
      <c r="F2637" t="s">
        <v>173</v>
      </c>
      <c r="G2637">
        <v>-3000</v>
      </c>
      <c r="H2637" t="s">
        <v>153</v>
      </c>
      <c r="I2637" t="s">
        <v>64</v>
      </c>
    </row>
    <row r="2638" spans="1:9">
      <c r="A2638" s="49">
        <v>45763</v>
      </c>
      <c r="B2638" s="50">
        <v>0.4923379629629629</v>
      </c>
      <c r="C2638" t="s">
        <v>155</v>
      </c>
      <c r="D2638" t="s">
        <v>155</v>
      </c>
      <c r="E2638" t="s">
        <v>32</v>
      </c>
      <c r="F2638" t="s">
        <v>1062</v>
      </c>
      <c r="G2638">
        <v>300000</v>
      </c>
      <c r="H2638" t="s">
        <v>153</v>
      </c>
      <c r="I2638" t="s">
        <v>64</v>
      </c>
    </row>
    <row r="2639" spans="1:9">
      <c r="A2639" s="49">
        <v>45762</v>
      </c>
      <c r="B2639" s="50">
        <v>0.791886574074074</v>
      </c>
      <c r="C2639" t="s">
        <v>150</v>
      </c>
      <c r="D2639" t="s">
        <v>42</v>
      </c>
      <c r="E2639" t="s">
        <v>177</v>
      </c>
      <c r="F2639" t="s">
        <v>1063</v>
      </c>
      <c r="G2639">
        <v>-12000</v>
      </c>
      <c r="H2639" t="s">
        <v>153</v>
      </c>
      <c r="I2639" t="s">
        <v>214</v>
      </c>
    </row>
    <row r="2640" spans="1:9">
      <c r="A2640" s="49">
        <v>45762</v>
      </c>
      <c r="B2640" s="50">
        <v>0.7663773148148149</v>
      </c>
      <c r="C2640" t="s">
        <v>150</v>
      </c>
      <c r="D2640" t="s">
        <v>40</v>
      </c>
      <c r="E2640" t="s">
        <v>172</v>
      </c>
      <c r="F2640" t="s">
        <v>1064</v>
      </c>
      <c r="G2640">
        <v>-2400</v>
      </c>
      <c r="H2640" t="s">
        <v>153</v>
      </c>
      <c r="I2640" t="s">
        <v>214</v>
      </c>
    </row>
    <row r="2641" spans="1:9">
      <c r="A2641" s="49">
        <v>45762</v>
      </c>
      <c r="B2641" s="50">
        <v>0.6834837962962963</v>
      </c>
      <c r="C2641" t="s">
        <v>150</v>
      </c>
      <c r="D2641" t="s">
        <v>35</v>
      </c>
      <c r="E2641" t="s">
        <v>174</v>
      </c>
      <c r="F2641" t="s">
        <v>314</v>
      </c>
      <c r="G2641">
        <v>-10000</v>
      </c>
      <c r="H2641" t="s">
        <v>153</v>
      </c>
      <c r="I2641" t="s">
        <v>64</v>
      </c>
    </row>
    <row r="2642" spans="1:9">
      <c r="A2642" s="49">
        <v>45762</v>
      </c>
      <c r="B2642" s="50">
        <v>0.6235763888888889</v>
      </c>
      <c r="C2642" t="s">
        <v>150</v>
      </c>
      <c r="D2642" t="s">
        <v>35</v>
      </c>
      <c r="E2642" t="s">
        <v>169</v>
      </c>
      <c r="F2642" t="s">
        <v>170</v>
      </c>
      <c r="G2642">
        <v>-1150</v>
      </c>
      <c r="H2642" t="s">
        <v>153</v>
      </c>
      <c r="I2642" t="s">
        <v>171</v>
      </c>
    </row>
    <row r="2643" spans="1:9">
      <c r="A2643" s="49">
        <v>45762</v>
      </c>
      <c r="B2643" s="50">
        <v>0.6235763888888889</v>
      </c>
      <c r="C2643" t="s">
        <v>167</v>
      </c>
      <c r="D2643" t="s">
        <v>31</v>
      </c>
      <c r="E2643" t="s">
        <v>32</v>
      </c>
      <c r="F2643" t="s">
        <v>168</v>
      </c>
      <c r="G2643">
        <v>3000</v>
      </c>
      <c r="H2643" t="s">
        <v>153</v>
      </c>
      <c r="I2643" t="s">
        <v>64</v>
      </c>
    </row>
    <row r="2644" spans="1:9">
      <c r="A2644" s="49">
        <v>45762</v>
      </c>
      <c r="B2644" s="50">
        <v>0.6200925925925926</v>
      </c>
      <c r="C2644" t="s">
        <v>150</v>
      </c>
      <c r="D2644" t="s">
        <v>35</v>
      </c>
      <c r="E2644" t="s">
        <v>169</v>
      </c>
      <c r="F2644" t="s">
        <v>170</v>
      </c>
      <c r="G2644">
        <v>3000</v>
      </c>
      <c r="H2644" t="s">
        <v>153</v>
      </c>
      <c r="I2644" t="s">
        <v>171</v>
      </c>
    </row>
    <row r="2645" spans="1:9">
      <c r="A2645" s="49">
        <v>45762</v>
      </c>
      <c r="B2645" s="50">
        <v>0.6200810185185185</v>
      </c>
      <c r="C2645" t="s">
        <v>150</v>
      </c>
      <c r="D2645" t="s">
        <v>40</v>
      </c>
      <c r="E2645" t="s">
        <v>172</v>
      </c>
      <c r="F2645" t="s">
        <v>173</v>
      </c>
      <c r="G2645">
        <v>-3000</v>
      </c>
      <c r="H2645" t="s">
        <v>153</v>
      </c>
      <c r="I2645" t="s">
        <v>64</v>
      </c>
    </row>
    <row r="2646" spans="1:9">
      <c r="A2646" s="49">
        <v>45762</v>
      </c>
      <c r="B2646" s="50">
        <v>0.6011458333333334</v>
      </c>
      <c r="C2646" t="s">
        <v>155</v>
      </c>
      <c r="D2646" t="s">
        <v>158</v>
      </c>
      <c r="E2646" t="s">
        <v>32</v>
      </c>
      <c r="F2646" t="s">
        <v>7</v>
      </c>
      <c r="G2646">
        <v>-5000000</v>
      </c>
      <c r="H2646" t="s">
        <v>153</v>
      </c>
      <c r="I2646" t="s">
        <v>64</v>
      </c>
    </row>
    <row r="2647" spans="1:9">
      <c r="A2647" s="49">
        <v>45762</v>
      </c>
      <c r="B2647" s="50">
        <v>0.01819444444444444</v>
      </c>
      <c r="C2647" t="s">
        <v>150</v>
      </c>
      <c r="D2647" t="s">
        <v>44</v>
      </c>
      <c r="E2647" t="s">
        <v>225</v>
      </c>
      <c r="F2647" t="s">
        <v>1065</v>
      </c>
      <c r="G2647">
        <v>-479843</v>
      </c>
      <c r="H2647" t="s">
        <v>153</v>
      </c>
      <c r="I2647" t="s">
        <v>214</v>
      </c>
    </row>
    <row r="2648" spans="1:9">
      <c r="A2648" s="49">
        <v>45761</v>
      </c>
      <c r="B2648" s="50">
        <v>0.3936921296296296</v>
      </c>
      <c r="C2648" t="s">
        <v>150</v>
      </c>
      <c r="D2648" t="s">
        <v>44</v>
      </c>
      <c r="E2648" t="s">
        <v>162</v>
      </c>
      <c r="F2648" t="s">
        <v>163</v>
      </c>
      <c r="G2648">
        <v>-3900</v>
      </c>
      <c r="H2648" t="s">
        <v>153</v>
      </c>
      <c r="I2648" t="s">
        <v>164</v>
      </c>
    </row>
    <row r="2649" spans="1:9">
      <c r="A2649" s="49">
        <v>45761</v>
      </c>
      <c r="B2649" s="50">
        <v>0.07329861111111111</v>
      </c>
      <c r="C2649" t="s">
        <v>150</v>
      </c>
      <c r="D2649" t="s">
        <v>37</v>
      </c>
      <c r="E2649" t="s">
        <v>201</v>
      </c>
      <c r="F2649" t="s">
        <v>1066</v>
      </c>
      <c r="G2649">
        <v>-113460</v>
      </c>
      <c r="H2649" t="s">
        <v>153</v>
      </c>
      <c r="I2649" t="s">
        <v>214</v>
      </c>
    </row>
    <row r="2650" spans="1:9">
      <c r="A2650" s="49">
        <v>45760</v>
      </c>
      <c r="B2650" s="50">
        <v>0.8782060185185185</v>
      </c>
      <c r="C2650" t="s">
        <v>155</v>
      </c>
      <c r="D2650" t="s">
        <v>155</v>
      </c>
      <c r="E2650" t="s">
        <v>32</v>
      </c>
      <c r="F2650" t="s">
        <v>947</v>
      </c>
      <c r="G2650">
        <v>300000</v>
      </c>
      <c r="H2650" t="s">
        <v>153</v>
      </c>
      <c r="I2650" t="s">
        <v>64</v>
      </c>
    </row>
    <row r="2651" spans="1:9">
      <c r="A2651" s="49">
        <v>45760</v>
      </c>
      <c r="B2651" s="50">
        <v>0.8481828703703703</v>
      </c>
      <c r="C2651" t="s">
        <v>155</v>
      </c>
      <c r="D2651" t="s">
        <v>155</v>
      </c>
      <c r="E2651" t="s">
        <v>32</v>
      </c>
      <c r="F2651" t="s">
        <v>1067</v>
      </c>
      <c r="G2651">
        <v>-48000</v>
      </c>
      <c r="H2651" t="s">
        <v>153</v>
      </c>
      <c r="I2651" t="s">
        <v>64</v>
      </c>
    </row>
    <row r="2652" spans="1:9">
      <c r="A2652" s="49">
        <v>45760</v>
      </c>
      <c r="B2652" s="50">
        <v>0.6223726851851852</v>
      </c>
      <c r="C2652" t="s">
        <v>155</v>
      </c>
      <c r="D2652" t="s">
        <v>155</v>
      </c>
      <c r="E2652" t="s">
        <v>32</v>
      </c>
      <c r="F2652" t="s">
        <v>581</v>
      </c>
      <c r="G2652">
        <v>300000</v>
      </c>
      <c r="H2652" t="s">
        <v>153</v>
      </c>
      <c r="I2652" t="s">
        <v>64</v>
      </c>
    </row>
    <row r="2653" spans="1:9">
      <c r="A2653" s="49">
        <v>45760</v>
      </c>
      <c r="B2653" s="50">
        <v>0.05484953703703704</v>
      </c>
      <c r="C2653" t="s">
        <v>150</v>
      </c>
      <c r="D2653" t="s">
        <v>35</v>
      </c>
      <c r="E2653" t="s">
        <v>174</v>
      </c>
      <c r="F2653" t="s">
        <v>314</v>
      </c>
      <c r="G2653">
        <v>-10000</v>
      </c>
      <c r="H2653" t="s">
        <v>153</v>
      </c>
      <c r="I2653" t="s">
        <v>64</v>
      </c>
    </row>
    <row r="2654" spans="1:9">
      <c r="A2654" s="49">
        <v>45759</v>
      </c>
      <c r="B2654" s="50">
        <v>0.9521296296296297</v>
      </c>
      <c r="C2654" t="s">
        <v>150</v>
      </c>
      <c r="D2654" t="s">
        <v>40</v>
      </c>
      <c r="E2654" t="s">
        <v>172</v>
      </c>
      <c r="F2654" t="s">
        <v>770</v>
      </c>
      <c r="G2654">
        <v>-4800</v>
      </c>
      <c r="H2654" t="s">
        <v>153</v>
      </c>
      <c r="I2654" t="s">
        <v>214</v>
      </c>
    </row>
    <row r="2655" spans="1:9">
      <c r="A2655" s="49">
        <v>45759</v>
      </c>
      <c r="B2655" s="50">
        <v>0.6555324074074074</v>
      </c>
      <c r="C2655" t="s">
        <v>150</v>
      </c>
      <c r="D2655" t="s">
        <v>40</v>
      </c>
      <c r="E2655" t="s">
        <v>172</v>
      </c>
      <c r="F2655" t="s">
        <v>1068</v>
      </c>
      <c r="G2655">
        <v>-3200</v>
      </c>
      <c r="H2655" t="s">
        <v>153</v>
      </c>
      <c r="I2655" t="s">
        <v>214</v>
      </c>
    </row>
    <row r="2656" spans="1:9">
      <c r="A2656" s="49">
        <v>45759</v>
      </c>
      <c r="B2656" s="50">
        <v>0.4114583333333333</v>
      </c>
      <c r="C2656" t="s">
        <v>150</v>
      </c>
      <c r="D2656" t="s">
        <v>35</v>
      </c>
      <c r="E2656" t="s">
        <v>174</v>
      </c>
      <c r="F2656" t="s">
        <v>1069</v>
      </c>
      <c r="G2656">
        <v>-8400</v>
      </c>
      <c r="H2656" t="s">
        <v>153</v>
      </c>
      <c r="I2656" t="s">
        <v>214</v>
      </c>
    </row>
    <row r="2657" spans="1:9">
      <c r="A2657" s="49">
        <v>45759</v>
      </c>
      <c r="B2657" s="50">
        <v>0.3200810185185185</v>
      </c>
      <c r="C2657" t="s">
        <v>150</v>
      </c>
      <c r="D2657" t="s">
        <v>48</v>
      </c>
      <c r="E2657" t="s">
        <v>185</v>
      </c>
      <c r="F2657" t="s">
        <v>1070</v>
      </c>
      <c r="G2657">
        <v>-2200</v>
      </c>
      <c r="H2657" t="s">
        <v>153</v>
      </c>
      <c r="I2657" t="s">
        <v>214</v>
      </c>
    </row>
    <row r="2658" spans="1:9">
      <c r="A2658" s="49">
        <v>45759</v>
      </c>
      <c r="B2658" s="50">
        <v>0.2975810185185185</v>
      </c>
      <c r="C2658" t="s">
        <v>150</v>
      </c>
      <c r="D2658" t="s">
        <v>35</v>
      </c>
      <c r="E2658" t="s">
        <v>174</v>
      </c>
      <c r="F2658" t="s">
        <v>314</v>
      </c>
      <c r="G2658">
        <v>-20000</v>
      </c>
      <c r="H2658" t="s">
        <v>153</v>
      </c>
      <c r="I2658" t="s">
        <v>64</v>
      </c>
    </row>
    <row r="2659" spans="1:9">
      <c r="A2659" s="49">
        <v>45759</v>
      </c>
      <c r="B2659" s="50">
        <v>0.01359953703703704</v>
      </c>
      <c r="C2659" t="s">
        <v>155</v>
      </c>
      <c r="D2659" t="s">
        <v>241</v>
      </c>
      <c r="E2659" t="s">
        <v>32</v>
      </c>
      <c r="F2659" t="s">
        <v>1071</v>
      </c>
      <c r="G2659">
        <v>80000</v>
      </c>
      <c r="H2659" t="s">
        <v>153</v>
      </c>
      <c r="I2659" t="s">
        <v>64</v>
      </c>
    </row>
    <row r="2660" spans="1:9">
      <c r="A2660" s="49">
        <v>45758</v>
      </c>
      <c r="B2660" s="50">
        <v>0.7513425925925926</v>
      </c>
      <c r="C2660" t="s">
        <v>155</v>
      </c>
      <c r="D2660" t="s">
        <v>155</v>
      </c>
      <c r="E2660" t="s">
        <v>32</v>
      </c>
      <c r="F2660" t="s">
        <v>925</v>
      </c>
      <c r="G2660">
        <v>300000</v>
      </c>
      <c r="H2660" t="s">
        <v>153</v>
      </c>
      <c r="I2660" t="s">
        <v>64</v>
      </c>
    </row>
    <row r="2661" spans="1:9">
      <c r="A2661" s="49">
        <v>45758</v>
      </c>
      <c r="B2661" s="50">
        <v>0.6948726851851852</v>
      </c>
      <c r="C2661" t="s">
        <v>155</v>
      </c>
      <c r="D2661" t="s">
        <v>155</v>
      </c>
      <c r="E2661" t="s">
        <v>32</v>
      </c>
      <c r="F2661" t="s">
        <v>653</v>
      </c>
      <c r="G2661">
        <v>300000</v>
      </c>
      <c r="H2661" t="s">
        <v>153</v>
      </c>
      <c r="I2661" t="s">
        <v>64</v>
      </c>
    </row>
    <row r="2662" spans="1:9">
      <c r="A2662" s="49">
        <v>45758</v>
      </c>
      <c r="B2662" s="50">
        <v>0.03048611111111111</v>
      </c>
      <c r="C2662" t="s">
        <v>155</v>
      </c>
      <c r="D2662" t="s">
        <v>155</v>
      </c>
      <c r="E2662" t="s">
        <v>32</v>
      </c>
      <c r="F2662" t="s">
        <v>1072</v>
      </c>
      <c r="G2662">
        <v>300000</v>
      </c>
      <c r="H2662" t="s">
        <v>153</v>
      </c>
      <c r="I2662" t="s">
        <v>64</v>
      </c>
    </row>
    <row r="2663" spans="1:9">
      <c r="A2663" s="49">
        <v>45757</v>
      </c>
      <c r="B2663" s="50">
        <v>0.7711574074074075</v>
      </c>
      <c r="C2663" t="s">
        <v>155</v>
      </c>
      <c r="D2663" t="s">
        <v>70</v>
      </c>
      <c r="E2663" t="s">
        <v>32</v>
      </c>
      <c r="F2663" t="s">
        <v>238</v>
      </c>
      <c r="G2663">
        <v>-81400</v>
      </c>
      <c r="H2663" t="s">
        <v>153</v>
      </c>
      <c r="I2663" t="s">
        <v>64</v>
      </c>
    </row>
    <row r="2664" spans="1:9">
      <c r="A2664" s="49">
        <v>45757</v>
      </c>
      <c r="B2664" s="50">
        <v>0.7655324074074074</v>
      </c>
      <c r="C2664" t="s">
        <v>155</v>
      </c>
      <c r="D2664" t="s">
        <v>155</v>
      </c>
      <c r="E2664" t="s">
        <v>32</v>
      </c>
      <c r="F2664" t="s">
        <v>1027</v>
      </c>
      <c r="G2664">
        <v>99000</v>
      </c>
      <c r="H2664" t="s">
        <v>153</v>
      </c>
      <c r="I2664" t="s">
        <v>64</v>
      </c>
    </row>
    <row r="2665" spans="1:9">
      <c r="A2665" s="49">
        <v>45757</v>
      </c>
      <c r="B2665" s="50">
        <v>0.494212962962963</v>
      </c>
      <c r="C2665" t="s">
        <v>167</v>
      </c>
      <c r="D2665" t="s">
        <v>28</v>
      </c>
      <c r="E2665" t="s">
        <v>32</v>
      </c>
      <c r="F2665" t="s">
        <v>243</v>
      </c>
      <c r="G2665">
        <v>8986</v>
      </c>
      <c r="H2665" t="s">
        <v>153</v>
      </c>
      <c r="I2665" t="s">
        <v>64</v>
      </c>
    </row>
    <row r="2666" spans="1:9">
      <c r="A2666" s="49">
        <v>45757</v>
      </c>
      <c r="B2666" s="50">
        <v>0.07171296296296296</v>
      </c>
      <c r="C2666" t="s">
        <v>150</v>
      </c>
      <c r="D2666" t="s">
        <v>35</v>
      </c>
      <c r="E2666" t="s">
        <v>174</v>
      </c>
      <c r="F2666" t="s">
        <v>314</v>
      </c>
      <c r="G2666">
        <v>-20000</v>
      </c>
      <c r="H2666" t="s">
        <v>153</v>
      </c>
      <c r="I2666" t="s">
        <v>64</v>
      </c>
    </row>
    <row r="2667" spans="1:9">
      <c r="A2667" s="49">
        <v>45756</v>
      </c>
      <c r="B2667" s="50">
        <v>0.9396064814814815</v>
      </c>
      <c r="C2667" t="s">
        <v>150</v>
      </c>
      <c r="D2667" t="s">
        <v>40</v>
      </c>
      <c r="E2667" t="s">
        <v>172</v>
      </c>
      <c r="F2667" t="s">
        <v>509</v>
      </c>
      <c r="G2667">
        <v>-6300</v>
      </c>
      <c r="H2667" t="s">
        <v>153</v>
      </c>
      <c r="I2667" t="s">
        <v>214</v>
      </c>
    </row>
    <row r="2668" spans="1:9">
      <c r="A2668" s="49">
        <v>45756</v>
      </c>
      <c r="B2668" s="50">
        <v>0.6432407407407408</v>
      </c>
      <c r="C2668" t="s">
        <v>150</v>
      </c>
      <c r="D2668" t="s">
        <v>40</v>
      </c>
      <c r="E2668" t="s">
        <v>251</v>
      </c>
      <c r="F2668" t="s">
        <v>1073</v>
      </c>
      <c r="G2668">
        <v>-11000</v>
      </c>
      <c r="H2668" t="s">
        <v>153</v>
      </c>
      <c r="I2668" t="s">
        <v>214</v>
      </c>
    </row>
    <row r="2669" spans="1:9">
      <c r="A2669" s="49">
        <v>45756</v>
      </c>
      <c r="B2669" s="50">
        <v>0.4912847222222222</v>
      </c>
      <c r="C2669" t="s">
        <v>167</v>
      </c>
      <c r="D2669" t="s">
        <v>31</v>
      </c>
      <c r="E2669" t="s">
        <v>32</v>
      </c>
      <c r="F2669" t="s">
        <v>168</v>
      </c>
      <c r="G2669">
        <v>3000</v>
      </c>
      <c r="H2669" t="s">
        <v>153</v>
      </c>
      <c r="I2669" t="s">
        <v>64</v>
      </c>
    </row>
    <row r="2670" spans="1:9">
      <c r="A2670" s="49">
        <v>45756</v>
      </c>
      <c r="B2670" s="50">
        <v>0.4912731481481482</v>
      </c>
      <c r="C2670" t="s">
        <v>150</v>
      </c>
      <c r="D2670" t="s">
        <v>35</v>
      </c>
      <c r="E2670" t="s">
        <v>169</v>
      </c>
      <c r="F2670" t="s">
        <v>170</v>
      </c>
      <c r="G2670">
        <v>-920</v>
      </c>
      <c r="H2670" t="s">
        <v>153</v>
      </c>
      <c r="I2670" t="s">
        <v>171</v>
      </c>
    </row>
    <row r="2671" spans="1:9">
      <c r="A2671" s="49">
        <v>45756</v>
      </c>
      <c r="B2671" s="50">
        <v>0.4887152777777778</v>
      </c>
      <c r="C2671" t="s">
        <v>150</v>
      </c>
      <c r="D2671" t="s">
        <v>35</v>
      </c>
      <c r="E2671" t="s">
        <v>169</v>
      </c>
      <c r="F2671" t="s">
        <v>170</v>
      </c>
      <c r="G2671">
        <v>3000</v>
      </c>
      <c r="H2671" t="s">
        <v>153</v>
      </c>
      <c r="I2671" t="s">
        <v>171</v>
      </c>
    </row>
    <row r="2672" spans="1:9">
      <c r="A2672" s="49">
        <v>45756</v>
      </c>
      <c r="B2672" s="50">
        <v>0.4887037037037037</v>
      </c>
      <c r="C2672" t="s">
        <v>150</v>
      </c>
      <c r="D2672" t="s">
        <v>40</v>
      </c>
      <c r="E2672" t="s">
        <v>172</v>
      </c>
      <c r="F2672" t="s">
        <v>173</v>
      </c>
      <c r="G2672">
        <v>-3000</v>
      </c>
      <c r="H2672" t="s">
        <v>153</v>
      </c>
      <c r="I2672" t="s">
        <v>64</v>
      </c>
    </row>
    <row r="2673" spans="1:9">
      <c r="A2673" s="49">
        <v>45755</v>
      </c>
      <c r="B2673" s="50">
        <v>0.9643287037037037</v>
      </c>
      <c r="C2673" t="s">
        <v>150</v>
      </c>
      <c r="D2673" t="s">
        <v>40</v>
      </c>
      <c r="E2673" t="s">
        <v>172</v>
      </c>
      <c r="F2673" t="s">
        <v>1074</v>
      </c>
      <c r="G2673">
        <v>-104234</v>
      </c>
      <c r="H2673" t="s">
        <v>153</v>
      </c>
      <c r="I2673" t="s">
        <v>214</v>
      </c>
    </row>
    <row r="2674" spans="1:9">
      <c r="A2674" s="49">
        <v>45755</v>
      </c>
      <c r="B2674" s="50">
        <v>0.8950231481481481</v>
      </c>
      <c r="C2674" t="s">
        <v>150</v>
      </c>
      <c r="D2674" t="s">
        <v>44</v>
      </c>
      <c r="E2674" t="s">
        <v>162</v>
      </c>
      <c r="F2674" t="s">
        <v>551</v>
      </c>
      <c r="G2674">
        <v>-12000</v>
      </c>
      <c r="H2674" t="s">
        <v>153</v>
      </c>
      <c r="I2674" t="s">
        <v>164</v>
      </c>
    </row>
    <row r="2675" spans="1:9">
      <c r="A2675" s="49">
        <v>45755</v>
      </c>
      <c r="B2675" s="50">
        <v>0.880613425925926</v>
      </c>
      <c r="C2675" t="s">
        <v>155</v>
      </c>
      <c r="D2675" t="s">
        <v>229</v>
      </c>
      <c r="E2675" t="s">
        <v>32</v>
      </c>
      <c r="F2675" t="s">
        <v>1044</v>
      </c>
      <c r="G2675">
        <v>100000</v>
      </c>
      <c r="H2675" t="s">
        <v>153</v>
      </c>
      <c r="I2675" t="s">
        <v>64</v>
      </c>
    </row>
    <row r="2676" spans="1:9">
      <c r="A2676" s="49">
        <v>45755</v>
      </c>
      <c r="B2676" s="50">
        <v>0.6234259259259259</v>
      </c>
      <c r="C2676" t="s">
        <v>155</v>
      </c>
      <c r="D2676" t="s">
        <v>158</v>
      </c>
      <c r="E2676" t="s">
        <v>32</v>
      </c>
      <c r="F2676" t="s">
        <v>7</v>
      </c>
      <c r="G2676">
        <v>-5000000</v>
      </c>
      <c r="H2676" t="s">
        <v>153</v>
      </c>
      <c r="I2676" t="s">
        <v>64</v>
      </c>
    </row>
    <row r="2677" spans="1:9">
      <c r="A2677" s="49">
        <v>45754</v>
      </c>
      <c r="B2677" s="50">
        <v>0.8446527777777778</v>
      </c>
      <c r="C2677" t="s">
        <v>150</v>
      </c>
      <c r="D2677" t="s">
        <v>48</v>
      </c>
      <c r="E2677" t="s">
        <v>574</v>
      </c>
      <c r="F2677" t="s">
        <v>1075</v>
      </c>
      <c r="G2677">
        <v>-7500</v>
      </c>
      <c r="H2677" t="s">
        <v>153</v>
      </c>
      <c r="I2677" t="s">
        <v>214</v>
      </c>
    </row>
    <row r="2678" spans="1:9">
      <c r="A2678" s="49">
        <v>45754</v>
      </c>
      <c r="B2678" s="50">
        <v>0.7840856481481482</v>
      </c>
      <c r="C2678" t="s">
        <v>150</v>
      </c>
      <c r="D2678" t="s">
        <v>41</v>
      </c>
      <c r="E2678" t="s">
        <v>399</v>
      </c>
      <c r="F2678" t="s">
        <v>1076</v>
      </c>
      <c r="G2678">
        <v>-103000</v>
      </c>
      <c r="H2678" t="s">
        <v>153</v>
      </c>
      <c r="I2678" t="s">
        <v>214</v>
      </c>
    </row>
    <row r="2679" spans="1:9">
      <c r="A2679" s="49">
        <v>45754</v>
      </c>
      <c r="B2679" s="50">
        <v>0.7287152777777778</v>
      </c>
      <c r="C2679" t="s">
        <v>150</v>
      </c>
      <c r="D2679" t="s">
        <v>48</v>
      </c>
      <c r="E2679" t="s">
        <v>185</v>
      </c>
      <c r="F2679" t="s">
        <v>715</v>
      </c>
      <c r="G2679">
        <v>20000</v>
      </c>
      <c r="H2679" t="s">
        <v>153</v>
      </c>
      <c r="I2679" t="s">
        <v>164</v>
      </c>
    </row>
    <row r="2680" spans="1:9">
      <c r="A2680" s="49">
        <v>45754</v>
      </c>
      <c r="B2680" s="50">
        <v>0.6958217592592593</v>
      </c>
      <c r="C2680" t="s">
        <v>150</v>
      </c>
      <c r="D2680" t="s">
        <v>48</v>
      </c>
      <c r="E2680" t="s">
        <v>566</v>
      </c>
      <c r="F2680" t="s">
        <v>1077</v>
      </c>
      <c r="G2680">
        <v>-11000</v>
      </c>
      <c r="H2680" t="s">
        <v>153</v>
      </c>
      <c r="I2680" t="s">
        <v>214</v>
      </c>
    </row>
    <row r="2681" spans="1:9">
      <c r="A2681" s="49">
        <v>45754</v>
      </c>
      <c r="B2681" s="50">
        <v>0.6397453703703704</v>
      </c>
      <c r="C2681" t="s">
        <v>167</v>
      </c>
      <c r="D2681" t="s">
        <v>31</v>
      </c>
      <c r="E2681" t="s">
        <v>32</v>
      </c>
      <c r="F2681" t="s">
        <v>168</v>
      </c>
      <c r="G2681">
        <v>3000</v>
      </c>
      <c r="H2681" t="s">
        <v>153</v>
      </c>
      <c r="I2681" t="s">
        <v>64</v>
      </c>
    </row>
    <row r="2682" spans="1:9">
      <c r="A2682" s="49">
        <v>45754</v>
      </c>
      <c r="B2682" s="50">
        <v>0.6397222222222222</v>
      </c>
      <c r="C2682" t="s">
        <v>150</v>
      </c>
      <c r="D2682" t="s">
        <v>35</v>
      </c>
      <c r="E2682" t="s">
        <v>169</v>
      </c>
      <c r="F2682" t="s">
        <v>170</v>
      </c>
      <c r="G2682">
        <v>-1150</v>
      </c>
      <c r="H2682" t="s">
        <v>153</v>
      </c>
      <c r="I2682" t="s">
        <v>171</v>
      </c>
    </row>
    <row r="2683" spans="1:9">
      <c r="A2683" s="49">
        <v>45754</v>
      </c>
      <c r="B2683" s="50">
        <v>0.6361805555555555</v>
      </c>
      <c r="C2683" t="s">
        <v>150</v>
      </c>
      <c r="D2683" t="s">
        <v>35</v>
      </c>
      <c r="E2683" t="s">
        <v>169</v>
      </c>
      <c r="F2683" t="s">
        <v>170</v>
      </c>
      <c r="G2683">
        <v>3000</v>
      </c>
      <c r="H2683" t="s">
        <v>153</v>
      </c>
      <c r="I2683" t="s">
        <v>171</v>
      </c>
    </row>
    <row r="2684" spans="1:9">
      <c r="A2684" s="49">
        <v>45754</v>
      </c>
      <c r="B2684" s="50">
        <v>0.6361689814814815</v>
      </c>
      <c r="C2684" t="s">
        <v>150</v>
      </c>
      <c r="D2684" t="s">
        <v>40</v>
      </c>
      <c r="E2684" t="s">
        <v>172</v>
      </c>
      <c r="F2684" t="s">
        <v>173</v>
      </c>
      <c r="G2684">
        <v>-3000</v>
      </c>
      <c r="H2684" t="s">
        <v>153</v>
      </c>
      <c r="I2684" t="s">
        <v>64</v>
      </c>
    </row>
    <row r="2685" spans="1:9">
      <c r="A2685" s="49">
        <v>45754</v>
      </c>
      <c r="B2685" s="50">
        <v>0.6354861111111111</v>
      </c>
      <c r="C2685" t="s">
        <v>150</v>
      </c>
      <c r="D2685" t="s">
        <v>35</v>
      </c>
      <c r="E2685" t="s">
        <v>169</v>
      </c>
      <c r="F2685" t="s">
        <v>170</v>
      </c>
      <c r="G2685">
        <v>-1890</v>
      </c>
      <c r="H2685" t="s">
        <v>153</v>
      </c>
      <c r="I2685" t="s">
        <v>171</v>
      </c>
    </row>
    <row r="2686" spans="1:9">
      <c r="A2686" s="49">
        <v>45754</v>
      </c>
      <c r="B2686" s="50">
        <v>0.02002314814814815</v>
      </c>
      <c r="C2686" t="s">
        <v>150</v>
      </c>
      <c r="D2686" t="s">
        <v>48</v>
      </c>
      <c r="E2686" t="s">
        <v>185</v>
      </c>
      <c r="F2686" t="s">
        <v>715</v>
      </c>
      <c r="G2686">
        <v>-20000</v>
      </c>
      <c r="H2686" t="s">
        <v>153</v>
      </c>
      <c r="I2686" t="s">
        <v>164</v>
      </c>
    </row>
    <row r="2687" spans="1:9">
      <c r="A2687" s="49">
        <v>45753</v>
      </c>
      <c r="B2687" s="50">
        <v>0.7681134259259259</v>
      </c>
      <c r="C2687" t="s">
        <v>155</v>
      </c>
      <c r="D2687" t="s">
        <v>155</v>
      </c>
      <c r="E2687" t="s">
        <v>32</v>
      </c>
      <c r="F2687" t="s">
        <v>1078</v>
      </c>
      <c r="G2687">
        <v>300000</v>
      </c>
      <c r="H2687" t="s">
        <v>153</v>
      </c>
      <c r="I2687" t="s">
        <v>64</v>
      </c>
    </row>
    <row r="2688" spans="1:9">
      <c r="A2688" s="49">
        <v>45752</v>
      </c>
      <c r="B2688" s="50">
        <v>0.9036226851851852</v>
      </c>
      <c r="C2688" t="s">
        <v>150</v>
      </c>
      <c r="D2688" t="s">
        <v>42</v>
      </c>
      <c r="E2688" t="s">
        <v>177</v>
      </c>
      <c r="F2688" t="s">
        <v>192</v>
      </c>
      <c r="G2688">
        <v>-50600</v>
      </c>
      <c r="H2688" t="s">
        <v>153</v>
      </c>
      <c r="I2688" t="s">
        <v>157</v>
      </c>
    </row>
    <row r="2689" spans="1:9">
      <c r="A2689" s="49">
        <v>45752</v>
      </c>
      <c r="B2689" s="50">
        <v>0.9036226851851852</v>
      </c>
      <c r="C2689" t="s">
        <v>155</v>
      </c>
      <c r="D2689" t="s">
        <v>158</v>
      </c>
      <c r="E2689" t="s">
        <v>32</v>
      </c>
      <c r="F2689" t="s">
        <v>160</v>
      </c>
      <c r="G2689">
        <v>-49331</v>
      </c>
      <c r="H2689" t="s">
        <v>153</v>
      </c>
      <c r="I2689" t="s">
        <v>64</v>
      </c>
    </row>
    <row r="2690" spans="1:9">
      <c r="A2690" s="49">
        <v>45752</v>
      </c>
      <c r="B2690" s="50">
        <v>0.9036111111111111</v>
      </c>
      <c r="C2690" t="s">
        <v>155</v>
      </c>
      <c r="D2690" t="s">
        <v>158</v>
      </c>
      <c r="E2690" t="s">
        <v>32</v>
      </c>
      <c r="F2690" t="s">
        <v>159</v>
      </c>
      <c r="G2690">
        <v>49331</v>
      </c>
      <c r="H2690" t="s">
        <v>153</v>
      </c>
      <c r="I2690" t="s">
        <v>157</v>
      </c>
    </row>
    <row r="2691" spans="1:9">
      <c r="A2691" s="49">
        <v>45752</v>
      </c>
      <c r="B2691" s="50">
        <v>0.8560648148148148</v>
      </c>
      <c r="C2691" t="s">
        <v>150</v>
      </c>
      <c r="D2691" t="s">
        <v>37</v>
      </c>
      <c r="E2691" t="s">
        <v>486</v>
      </c>
      <c r="F2691" t="s">
        <v>1079</v>
      </c>
      <c r="G2691">
        <v>-7000</v>
      </c>
      <c r="H2691" t="s">
        <v>153</v>
      </c>
      <c r="I2691" t="s">
        <v>164</v>
      </c>
    </row>
    <row r="2692" spans="1:9">
      <c r="A2692" s="49">
        <v>45752</v>
      </c>
      <c r="B2692" s="50">
        <v>0.7346064814814814</v>
      </c>
      <c r="C2692" t="s">
        <v>150</v>
      </c>
      <c r="D2692" t="s">
        <v>49</v>
      </c>
      <c r="E2692" t="s">
        <v>304</v>
      </c>
      <c r="F2692" t="s">
        <v>1080</v>
      </c>
      <c r="G2692">
        <v>-4900</v>
      </c>
      <c r="H2692" t="s">
        <v>153</v>
      </c>
      <c r="I2692" t="s">
        <v>214</v>
      </c>
    </row>
    <row r="2693" spans="1:9">
      <c r="A2693" s="49">
        <v>45752</v>
      </c>
      <c r="B2693" s="50">
        <v>0.7062731481481481</v>
      </c>
      <c r="C2693" t="s">
        <v>150</v>
      </c>
      <c r="D2693" t="s">
        <v>42</v>
      </c>
      <c r="E2693" t="s">
        <v>177</v>
      </c>
      <c r="F2693" t="s">
        <v>477</v>
      </c>
      <c r="G2693">
        <v>-1200</v>
      </c>
      <c r="H2693" t="s">
        <v>153</v>
      </c>
      <c r="I2693" t="s">
        <v>214</v>
      </c>
    </row>
    <row r="2694" spans="1:9">
      <c r="A2694" s="49">
        <v>45752</v>
      </c>
      <c r="B2694" s="50">
        <v>0.2518865740740741</v>
      </c>
      <c r="C2694" t="s">
        <v>150</v>
      </c>
      <c r="D2694" t="s">
        <v>35</v>
      </c>
      <c r="E2694" t="s">
        <v>482</v>
      </c>
      <c r="F2694" t="s">
        <v>1081</v>
      </c>
      <c r="G2694">
        <v>-45400</v>
      </c>
      <c r="H2694" t="s">
        <v>153</v>
      </c>
      <c r="I2694" t="s">
        <v>214</v>
      </c>
    </row>
    <row r="2695" spans="1:9">
      <c r="A2695" s="49">
        <v>45752</v>
      </c>
      <c r="B2695" s="50">
        <v>0.2518865740740741</v>
      </c>
      <c r="C2695" t="s">
        <v>150</v>
      </c>
      <c r="D2695" t="s">
        <v>35</v>
      </c>
      <c r="E2695" t="s">
        <v>169</v>
      </c>
      <c r="F2695" t="s">
        <v>1082</v>
      </c>
      <c r="G2695">
        <v>-36000</v>
      </c>
      <c r="H2695" t="s">
        <v>153</v>
      </c>
      <c r="I2695" t="s">
        <v>214</v>
      </c>
    </row>
    <row r="2696" spans="1:9">
      <c r="A2696" s="49">
        <v>45752</v>
      </c>
      <c r="B2696" s="50">
        <v>0.07310185185185185</v>
      </c>
      <c r="C2696" t="s">
        <v>150</v>
      </c>
      <c r="D2696" t="s">
        <v>35</v>
      </c>
      <c r="E2696" t="s">
        <v>174</v>
      </c>
      <c r="F2696" t="s">
        <v>314</v>
      </c>
      <c r="G2696">
        <v>-20000</v>
      </c>
      <c r="H2696" t="s">
        <v>153</v>
      </c>
      <c r="I2696" t="s">
        <v>64</v>
      </c>
    </row>
    <row r="2697" spans="1:9">
      <c r="A2697" s="49">
        <v>45751</v>
      </c>
      <c r="B2697" s="50">
        <v>0.8281597222222222</v>
      </c>
      <c r="C2697" t="s">
        <v>155</v>
      </c>
      <c r="D2697" t="s">
        <v>158</v>
      </c>
      <c r="E2697" t="s">
        <v>32</v>
      </c>
      <c r="F2697" t="s">
        <v>159</v>
      </c>
      <c r="G2697">
        <v>10000</v>
      </c>
      <c r="H2697" t="s">
        <v>153</v>
      </c>
      <c r="I2697" t="s">
        <v>157</v>
      </c>
    </row>
    <row r="2698" spans="1:9">
      <c r="A2698" s="49">
        <v>45751</v>
      </c>
      <c r="B2698" s="50">
        <v>0.8281597222222222</v>
      </c>
      <c r="C2698" t="s">
        <v>150</v>
      </c>
      <c r="D2698" t="s">
        <v>35</v>
      </c>
      <c r="E2698" t="s">
        <v>169</v>
      </c>
      <c r="F2698" t="s">
        <v>739</v>
      </c>
      <c r="G2698">
        <v>-1731</v>
      </c>
      <c r="H2698" t="s">
        <v>153</v>
      </c>
      <c r="I2698" t="s">
        <v>164</v>
      </c>
    </row>
    <row r="2699" spans="1:9">
      <c r="A2699" s="49">
        <v>45751</v>
      </c>
      <c r="B2699" s="50">
        <v>0.8281597222222222</v>
      </c>
      <c r="C2699" t="s">
        <v>155</v>
      </c>
      <c r="D2699" t="s">
        <v>158</v>
      </c>
      <c r="E2699" t="s">
        <v>32</v>
      </c>
      <c r="F2699" t="s">
        <v>160</v>
      </c>
      <c r="G2699">
        <v>-10000</v>
      </c>
      <c r="H2699" t="s">
        <v>153</v>
      </c>
      <c r="I2699" t="s">
        <v>64</v>
      </c>
    </row>
    <row r="2700" spans="1:9">
      <c r="A2700" s="49">
        <v>45751</v>
      </c>
      <c r="B2700" s="50">
        <v>0.4411805555555556</v>
      </c>
      <c r="C2700" t="s">
        <v>150</v>
      </c>
      <c r="D2700" t="s">
        <v>44</v>
      </c>
      <c r="E2700" t="s">
        <v>225</v>
      </c>
      <c r="F2700" t="s">
        <v>372</v>
      </c>
      <c r="G2700">
        <v>-7890</v>
      </c>
      <c r="H2700" t="s">
        <v>153</v>
      </c>
      <c r="I2700" t="s">
        <v>64</v>
      </c>
    </row>
    <row r="2701" spans="1:9">
      <c r="A2701" s="49">
        <v>45750</v>
      </c>
      <c r="B2701" s="50">
        <v>0.8038773148148148</v>
      </c>
      <c r="C2701" t="s">
        <v>167</v>
      </c>
      <c r="D2701" t="s">
        <v>31</v>
      </c>
      <c r="E2701" t="s">
        <v>32</v>
      </c>
      <c r="F2701" t="s">
        <v>168</v>
      </c>
      <c r="G2701">
        <v>3000</v>
      </c>
      <c r="H2701" t="s">
        <v>153</v>
      </c>
      <c r="I2701" t="s">
        <v>64</v>
      </c>
    </row>
    <row r="2702" spans="1:9">
      <c r="A2702" s="49">
        <v>45750</v>
      </c>
      <c r="B2702" s="50">
        <v>0.8037847222222222</v>
      </c>
      <c r="C2702" t="s">
        <v>150</v>
      </c>
      <c r="D2702" t="s">
        <v>35</v>
      </c>
      <c r="E2702" t="s">
        <v>169</v>
      </c>
      <c r="F2702" t="s">
        <v>170</v>
      </c>
      <c r="G2702">
        <v>-1380</v>
      </c>
      <c r="H2702" t="s">
        <v>153</v>
      </c>
      <c r="I2702" t="s">
        <v>171</v>
      </c>
    </row>
    <row r="2703" spans="1:9">
      <c r="A2703" s="49">
        <v>45750</v>
      </c>
      <c r="B2703" s="50">
        <v>0.7995833333333333</v>
      </c>
      <c r="C2703" t="s">
        <v>150</v>
      </c>
      <c r="D2703" t="s">
        <v>35</v>
      </c>
      <c r="E2703" t="s">
        <v>169</v>
      </c>
      <c r="F2703" t="s">
        <v>170</v>
      </c>
      <c r="G2703">
        <v>3000</v>
      </c>
      <c r="H2703" t="s">
        <v>153</v>
      </c>
      <c r="I2703" t="s">
        <v>171</v>
      </c>
    </row>
    <row r="2704" spans="1:9">
      <c r="A2704" s="49">
        <v>45750</v>
      </c>
      <c r="B2704" s="50">
        <v>0.7995833333333333</v>
      </c>
      <c r="C2704" t="s">
        <v>150</v>
      </c>
      <c r="D2704" t="s">
        <v>40</v>
      </c>
      <c r="E2704" t="s">
        <v>172</v>
      </c>
      <c r="F2704" t="s">
        <v>173</v>
      </c>
      <c r="G2704">
        <v>-3000</v>
      </c>
      <c r="H2704" t="s">
        <v>153</v>
      </c>
      <c r="I2704" t="s">
        <v>64</v>
      </c>
    </row>
    <row r="2705" spans="1:9">
      <c r="A2705" s="49">
        <v>45750</v>
      </c>
      <c r="B2705" s="50">
        <v>0.7285879629629629</v>
      </c>
      <c r="C2705" t="s">
        <v>150</v>
      </c>
      <c r="D2705" t="s">
        <v>45</v>
      </c>
      <c r="E2705" t="s">
        <v>468</v>
      </c>
      <c r="F2705" t="s">
        <v>1083</v>
      </c>
      <c r="G2705">
        <v>-3000</v>
      </c>
      <c r="H2705" t="s">
        <v>153</v>
      </c>
      <c r="I2705" t="s">
        <v>214</v>
      </c>
    </row>
    <row r="2706" spans="1:9">
      <c r="A2706" s="49">
        <v>45750</v>
      </c>
      <c r="B2706" s="50">
        <v>0.6652546296296297</v>
      </c>
      <c r="C2706" t="s">
        <v>150</v>
      </c>
      <c r="D2706" t="s">
        <v>48</v>
      </c>
      <c r="E2706" t="s">
        <v>185</v>
      </c>
      <c r="F2706" t="s">
        <v>1084</v>
      </c>
      <c r="G2706">
        <v>-14500</v>
      </c>
      <c r="H2706" t="s">
        <v>153</v>
      </c>
      <c r="I2706" t="s">
        <v>214</v>
      </c>
    </row>
    <row r="2707" spans="1:9">
      <c r="A2707" s="49">
        <v>45750</v>
      </c>
      <c r="B2707" s="50">
        <v>0.4907060185185185</v>
      </c>
      <c r="C2707" t="s">
        <v>150</v>
      </c>
      <c r="D2707" t="s">
        <v>40</v>
      </c>
      <c r="E2707" t="s">
        <v>172</v>
      </c>
      <c r="F2707" t="s">
        <v>1085</v>
      </c>
      <c r="G2707">
        <v>-2900</v>
      </c>
      <c r="H2707" t="s">
        <v>153</v>
      </c>
      <c r="I2707" t="s">
        <v>214</v>
      </c>
    </row>
    <row r="2708" spans="1:9">
      <c r="A2708" s="49">
        <v>45750</v>
      </c>
      <c r="B2708" s="50">
        <v>0.4649537037037037</v>
      </c>
      <c r="C2708" t="s">
        <v>155</v>
      </c>
      <c r="D2708" t="s">
        <v>155</v>
      </c>
      <c r="E2708" t="s">
        <v>32</v>
      </c>
      <c r="F2708" t="s">
        <v>1086</v>
      </c>
      <c r="G2708">
        <v>300000</v>
      </c>
      <c r="H2708" t="s">
        <v>153</v>
      </c>
      <c r="I2708" t="s">
        <v>64</v>
      </c>
    </row>
    <row r="2709" spans="1:9">
      <c r="A2709" s="49">
        <v>45750</v>
      </c>
      <c r="B2709" s="50">
        <v>0.4609375</v>
      </c>
      <c r="C2709" t="s">
        <v>167</v>
      </c>
      <c r="D2709" t="s">
        <v>31</v>
      </c>
      <c r="E2709" t="s">
        <v>32</v>
      </c>
      <c r="F2709" t="s">
        <v>168</v>
      </c>
      <c r="G2709">
        <v>3000</v>
      </c>
      <c r="H2709" t="s">
        <v>153</v>
      </c>
      <c r="I2709" t="s">
        <v>64</v>
      </c>
    </row>
    <row r="2710" spans="1:9">
      <c r="A2710" s="49">
        <v>45750</v>
      </c>
      <c r="B2710" s="50">
        <v>0.4607870370370371</v>
      </c>
      <c r="C2710" t="s">
        <v>150</v>
      </c>
      <c r="D2710" t="s">
        <v>35</v>
      </c>
      <c r="E2710" t="s">
        <v>169</v>
      </c>
      <c r="F2710" t="s">
        <v>170</v>
      </c>
      <c r="G2710">
        <v>-1840</v>
      </c>
      <c r="H2710" t="s">
        <v>153</v>
      </c>
      <c r="I2710" t="s">
        <v>171</v>
      </c>
    </row>
    <row r="2711" spans="1:9">
      <c r="A2711" s="49">
        <v>45750</v>
      </c>
      <c r="B2711" s="50">
        <v>0.4553472222222222</v>
      </c>
      <c r="C2711" t="s">
        <v>150</v>
      </c>
      <c r="D2711" t="s">
        <v>35</v>
      </c>
      <c r="E2711" t="s">
        <v>169</v>
      </c>
      <c r="F2711" t="s">
        <v>170</v>
      </c>
      <c r="G2711">
        <v>3000</v>
      </c>
      <c r="H2711" t="s">
        <v>153</v>
      </c>
      <c r="I2711" t="s">
        <v>171</v>
      </c>
    </row>
    <row r="2712" spans="1:9">
      <c r="A2712" s="49">
        <v>45750</v>
      </c>
      <c r="B2712" s="50">
        <v>0.4553472222222222</v>
      </c>
      <c r="C2712" t="s">
        <v>150</v>
      </c>
      <c r="D2712" t="s">
        <v>40</v>
      </c>
      <c r="E2712" t="s">
        <v>172</v>
      </c>
      <c r="F2712" t="s">
        <v>173</v>
      </c>
      <c r="G2712">
        <v>-3000</v>
      </c>
      <c r="H2712" t="s">
        <v>153</v>
      </c>
      <c r="I2712" t="s">
        <v>64</v>
      </c>
    </row>
    <row r="2713" spans="1:9">
      <c r="A2713" s="49">
        <v>45750</v>
      </c>
      <c r="B2713" s="50">
        <v>0.1920949074074074</v>
      </c>
      <c r="C2713" t="s">
        <v>150</v>
      </c>
      <c r="D2713" t="s">
        <v>44</v>
      </c>
      <c r="E2713" t="s">
        <v>315</v>
      </c>
      <c r="F2713" t="s">
        <v>316</v>
      </c>
      <c r="G2713">
        <v>-18500</v>
      </c>
      <c r="H2713" t="s">
        <v>153</v>
      </c>
      <c r="I2713" t="s">
        <v>164</v>
      </c>
    </row>
    <row r="2714" spans="1:9">
      <c r="A2714" s="49">
        <v>45750</v>
      </c>
      <c r="B2714" s="50">
        <v>0.1920949074074074</v>
      </c>
      <c r="C2714" t="s">
        <v>155</v>
      </c>
      <c r="D2714" t="s">
        <v>158</v>
      </c>
      <c r="E2714" t="s">
        <v>32</v>
      </c>
      <c r="F2714" t="s">
        <v>159</v>
      </c>
      <c r="G2714">
        <v>17114</v>
      </c>
      <c r="H2714" t="s">
        <v>153</v>
      </c>
      <c r="I2714" t="s">
        <v>157</v>
      </c>
    </row>
    <row r="2715" spans="1:9">
      <c r="A2715" s="49">
        <v>45750</v>
      </c>
      <c r="B2715" s="50">
        <v>0.1920949074074074</v>
      </c>
      <c r="C2715" t="s">
        <v>155</v>
      </c>
      <c r="D2715" t="s">
        <v>158</v>
      </c>
      <c r="E2715" t="s">
        <v>32</v>
      </c>
      <c r="F2715" t="s">
        <v>160</v>
      </c>
      <c r="G2715">
        <v>-17114</v>
      </c>
      <c r="H2715" t="s">
        <v>153</v>
      </c>
      <c r="I2715" t="s">
        <v>64</v>
      </c>
    </row>
    <row r="2716" spans="1:9">
      <c r="A2716" s="49">
        <v>45749</v>
      </c>
      <c r="B2716" s="50">
        <v>0.940300925925926</v>
      </c>
      <c r="C2716" t="s">
        <v>155</v>
      </c>
      <c r="D2716" t="s">
        <v>155</v>
      </c>
      <c r="E2716" t="s">
        <v>32</v>
      </c>
      <c r="F2716" t="s">
        <v>1087</v>
      </c>
      <c r="G2716">
        <v>300000</v>
      </c>
      <c r="H2716" t="s">
        <v>153</v>
      </c>
      <c r="I2716" t="s">
        <v>64</v>
      </c>
    </row>
    <row r="2717" spans="1:9">
      <c r="A2717" s="49">
        <v>45749</v>
      </c>
      <c r="B2717" s="50">
        <v>0.5433564814814815</v>
      </c>
      <c r="C2717" t="s">
        <v>155</v>
      </c>
      <c r="D2717" t="s">
        <v>155</v>
      </c>
      <c r="E2717" t="s">
        <v>32</v>
      </c>
      <c r="F2717" t="s">
        <v>1088</v>
      </c>
      <c r="G2717">
        <v>300000</v>
      </c>
      <c r="H2717" t="s">
        <v>153</v>
      </c>
      <c r="I2717" t="s">
        <v>64</v>
      </c>
    </row>
    <row r="2718" spans="1:9">
      <c r="A2718" s="49">
        <v>45749</v>
      </c>
      <c r="B2718" s="50">
        <v>0.4801388888888889</v>
      </c>
      <c r="C2718" t="s">
        <v>150</v>
      </c>
      <c r="D2718" t="s">
        <v>35</v>
      </c>
      <c r="E2718" t="s">
        <v>169</v>
      </c>
      <c r="F2718" t="s">
        <v>170</v>
      </c>
      <c r="G2718">
        <v>-4900</v>
      </c>
      <c r="H2718" t="s">
        <v>153</v>
      </c>
      <c r="I2718" t="s">
        <v>171</v>
      </c>
    </row>
    <row r="2719" spans="1:9">
      <c r="A2719" s="49">
        <v>45749</v>
      </c>
      <c r="B2719" s="50">
        <v>0.3683449074074074</v>
      </c>
      <c r="C2719" t="s">
        <v>150</v>
      </c>
      <c r="D2719" t="s">
        <v>44</v>
      </c>
      <c r="E2719" t="s">
        <v>315</v>
      </c>
      <c r="F2719" t="s">
        <v>316</v>
      </c>
      <c r="G2719">
        <v>-3300</v>
      </c>
      <c r="H2719" t="s">
        <v>153</v>
      </c>
      <c r="I2719" t="s">
        <v>164</v>
      </c>
    </row>
    <row r="2720" spans="1:9">
      <c r="A2720" s="49">
        <v>45748</v>
      </c>
      <c r="B2720" s="50">
        <v>0.7965509259259259</v>
      </c>
      <c r="C2720" t="s">
        <v>155</v>
      </c>
      <c r="D2720" t="s">
        <v>158</v>
      </c>
      <c r="E2720" t="s">
        <v>32</v>
      </c>
      <c r="F2720" t="s">
        <v>194</v>
      </c>
      <c r="G2720">
        <v>-40500</v>
      </c>
      <c r="H2720" t="s">
        <v>153</v>
      </c>
      <c r="I2720" t="s">
        <v>64</v>
      </c>
    </row>
    <row r="2721" spans="1:9">
      <c r="A2721" s="49">
        <v>45748</v>
      </c>
      <c r="B2721" s="50">
        <v>0.7847222222222222</v>
      </c>
      <c r="C2721" t="s">
        <v>167</v>
      </c>
      <c r="D2721" t="s">
        <v>28</v>
      </c>
      <c r="E2721" t="s">
        <v>32</v>
      </c>
      <c r="F2721" t="s">
        <v>535</v>
      </c>
      <c r="G2721">
        <v>950000</v>
      </c>
      <c r="H2721" t="s">
        <v>153</v>
      </c>
      <c r="I2721" t="s">
        <v>64</v>
      </c>
    </row>
    <row r="2722" spans="1:9">
      <c r="A2722" s="49">
        <v>45748</v>
      </c>
      <c r="B2722" s="50">
        <v>0.7046990740740741</v>
      </c>
      <c r="C2722" t="s">
        <v>150</v>
      </c>
      <c r="D2722" t="s">
        <v>37</v>
      </c>
      <c r="E2722" t="s">
        <v>457</v>
      </c>
      <c r="F2722" t="s">
        <v>1089</v>
      </c>
      <c r="G2722">
        <v>-8000</v>
      </c>
      <c r="H2722" t="s">
        <v>153</v>
      </c>
      <c r="I2722" t="s">
        <v>214</v>
      </c>
    </row>
    <row r="2723" spans="1:9">
      <c r="A2723" s="49">
        <v>45748</v>
      </c>
      <c r="B2723" s="50">
        <v>0.592650462962963</v>
      </c>
      <c r="C2723" t="s">
        <v>150</v>
      </c>
      <c r="D2723" t="s">
        <v>42</v>
      </c>
      <c r="E2723" t="s">
        <v>463</v>
      </c>
      <c r="F2723" t="s">
        <v>1090</v>
      </c>
      <c r="G2723">
        <v>-35900</v>
      </c>
      <c r="H2723" t="s">
        <v>153</v>
      </c>
      <c r="I2723" t="s">
        <v>214</v>
      </c>
    </row>
    <row r="2724" spans="1:9">
      <c r="A2724" s="49">
        <v>45748</v>
      </c>
      <c r="B2724" s="50">
        <v>0.5159490740740741</v>
      </c>
      <c r="C2724" t="s">
        <v>167</v>
      </c>
      <c r="D2724" t="s">
        <v>31</v>
      </c>
      <c r="E2724" t="s">
        <v>32</v>
      </c>
      <c r="F2724" t="s">
        <v>168</v>
      </c>
      <c r="G2724">
        <v>3000</v>
      </c>
      <c r="H2724" t="s">
        <v>153</v>
      </c>
      <c r="I2724" t="s">
        <v>64</v>
      </c>
    </row>
    <row r="2725" spans="1:9">
      <c r="A2725" s="49">
        <v>45748</v>
      </c>
      <c r="B2725" s="50">
        <v>0.5159375</v>
      </c>
      <c r="C2725" t="s">
        <v>150</v>
      </c>
      <c r="D2725" t="s">
        <v>35</v>
      </c>
      <c r="E2725" t="s">
        <v>169</v>
      </c>
      <c r="F2725" t="s">
        <v>170</v>
      </c>
      <c r="G2725">
        <v>-690</v>
      </c>
      <c r="H2725" t="s">
        <v>153</v>
      </c>
      <c r="I2725" t="s">
        <v>171</v>
      </c>
    </row>
    <row r="2726" spans="1:9">
      <c r="A2726" s="49">
        <v>45748</v>
      </c>
      <c r="B2726" s="50">
        <v>0.5139467592592593</v>
      </c>
      <c r="C2726" t="s">
        <v>150</v>
      </c>
      <c r="D2726" t="s">
        <v>35</v>
      </c>
      <c r="E2726" t="s">
        <v>169</v>
      </c>
      <c r="F2726" t="s">
        <v>170</v>
      </c>
      <c r="G2726">
        <v>3000</v>
      </c>
      <c r="H2726" t="s">
        <v>153</v>
      </c>
      <c r="I2726" t="s">
        <v>171</v>
      </c>
    </row>
    <row r="2727" spans="1:9">
      <c r="A2727" s="49">
        <v>45748</v>
      </c>
      <c r="B2727" s="50">
        <v>0.5139351851851852</v>
      </c>
      <c r="C2727" t="s">
        <v>150</v>
      </c>
      <c r="D2727" t="s">
        <v>40</v>
      </c>
      <c r="E2727" t="s">
        <v>172</v>
      </c>
      <c r="F2727" t="s">
        <v>173</v>
      </c>
      <c r="G2727">
        <v>-3000</v>
      </c>
      <c r="H2727" t="s">
        <v>153</v>
      </c>
      <c r="I2727" t="s">
        <v>64</v>
      </c>
    </row>
    <row r="2728" spans="1:9">
      <c r="A2728" s="49">
        <v>45748</v>
      </c>
      <c r="B2728" s="50">
        <v>0.3363194444444444</v>
      </c>
      <c r="C2728" t="s">
        <v>155</v>
      </c>
      <c r="D2728" t="s">
        <v>155</v>
      </c>
      <c r="E2728" t="s">
        <v>32</v>
      </c>
      <c r="F2728" t="s">
        <v>1091</v>
      </c>
      <c r="G2728">
        <v>300000</v>
      </c>
      <c r="H2728" t="s">
        <v>153</v>
      </c>
      <c r="I2728" t="s">
        <v>64</v>
      </c>
    </row>
    <row r="2729" spans="1:9">
      <c r="A2729" s="49">
        <v>45747</v>
      </c>
      <c r="B2729" s="50">
        <v>0.8444907407407407</v>
      </c>
      <c r="C2729" t="s">
        <v>155</v>
      </c>
      <c r="D2729" t="s">
        <v>155</v>
      </c>
      <c r="E2729" t="s">
        <v>32</v>
      </c>
      <c r="F2729" t="s">
        <v>1092</v>
      </c>
      <c r="G2729">
        <v>300000</v>
      </c>
      <c r="H2729" t="s">
        <v>153</v>
      </c>
      <c r="I2729" t="s">
        <v>64</v>
      </c>
    </row>
    <row r="2730" spans="1:9">
      <c r="A2730" s="49">
        <v>45747</v>
      </c>
      <c r="B2730" s="50">
        <v>0.7598495370370371</v>
      </c>
      <c r="C2730" t="s">
        <v>155</v>
      </c>
      <c r="D2730" t="s">
        <v>155</v>
      </c>
      <c r="E2730" t="s">
        <v>32</v>
      </c>
      <c r="F2730" t="s">
        <v>1093</v>
      </c>
      <c r="G2730">
        <v>300000</v>
      </c>
      <c r="H2730" t="s">
        <v>153</v>
      </c>
      <c r="I2730" t="s">
        <v>64</v>
      </c>
    </row>
    <row r="2731" spans="1:9">
      <c r="A2731" s="49">
        <v>45746</v>
      </c>
      <c r="B2731" s="50">
        <v>0.6226851851851852</v>
      </c>
      <c r="C2731" t="s">
        <v>155</v>
      </c>
      <c r="D2731" t="s">
        <v>155</v>
      </c>
      <c r="E2731" t="s">
        <v>32</v>
      </c>
      <c r="F2731" t="s">
        <v>1094</v>
      </c>
      <c r="G2731">
        <v>300000</v>
      </c>
      <c r="H2731" t="s">
        <v>153</v>
      </c>
      <c r="I2731" t="s">
        <v>64</v>
      </c>
    </row>
    <row r="2732" spans="1:9">
      <c r="A2732" s="49">
        <v>45746</v>
      </c>
      <c r="B2732" s="50">
        <v>0.4540625</v>
      </c>
      <c r="C2732" t="s">
        <v>150</v>
      </c>
      <c r="D2732" t="s">
        <v>36</v>
      </c>
      <c r="E2732" t="s">
        <v>266</v>
      </c>
      <c r="F2732" t="s">
        <v>827</v>
      </c>
      <c r="G2732">
        <v>-5500</v>
      </c>
      <c r="H2732" t="s">
        <v>153</v>
      </c>
      <c r="I2732" t="s">
        <v>171</v>
      </c>
    </row>
    <row r="2733" spans="1:9">
      <c r="A2733" s="49">
        <v>45746</v>
      </c>
      <c r="B2733" s="50">
        <v>0.4391666666666666</v>
      </c>
      <c r="C2733" t="s">
        <v>150</v>
      </c>
      <c r="D2733" t="s">
        <v>44</v>
      </c>
      <c r="E2733" t="s">
        <v>260</v>
      </c>
      <c r="F2733" t="s">
        <v>1095</v>
      </c>
      <c r="G2733">
        <v>-5500</v>
      </c>
      <c r="H2733" t="s">
        <v>153</v>
      </c>
      <c r="I2733" t="s">
        <v>164</v>
      </c>
    </row>
    <row r="2734" spans="1:9">
      <c r="A2734" s="49">
        <v>45746</v>
      </c>
      <c r="B2734" s="50">
        <v>0.4391666666666666</v>
      </c>
      <c r="C2734" t="s">
        <v>155</v>
      </c>
      <c r="D2734" t="s">
        <v>158</v>
      </c>
      <c r="E2734" t="s">
        <v>32</v>
      </c>
      <c r="F2734" t="s">
        <v>159</v>
      </c>
      <c r="G2734">
        <v>10000</v>
      </c>
      <c r="H2734" t="s">
        <v>153</v>
      </c>
      <c r="I2734" t="s">
        <v>157</v>
      </c>
    </row>
    <row r="2735" spans="1:9">
      <c r="A2735" s="49">
        <v>45746</v>
      </c>
      <c r="B2735" s="50">
        <v>0.4391666666666666</v>
      </c>
      <c r="C2735" t="s">
        <v>155</v>
      </c>
      <c r="D2735" t="s">
        <v>158</v>
      </c>
      <c r="E2735" t="s">
        <v>32</v>
      </c>
      <c r="F2735" t="s">
        <v>160</v>
      </c>
      <c r="G2735">
        <v>-10000</v>
      </c>
      <c r="H2735" t="s">
        <v>153</v>
      </c>
      <c r="I2735" t="s">
        <v>64</v>
      </c>
    </row>
    <row r="2736" spans="1:9">
      <c r="A2736" s="49">
        <v>45745</v>
      </c>
      <c r="B2736" s="50">
        <v>0.7840277777777778</v>
      </c>
      <c r="C2736" t="s">
        <v>155</v>
      </c>
      <c r="D2736" t="s">
        <v>155</v>
      </c>
      <c r="E2736" t="s">
        <v>32</v>
      </c>
      <c r="F2736" t="s">
        <v>1096</v>
      </c>
      <c r="G2736">
        <v>300000</v>
      </c>
      <c r="H2736" t="s">
        <v>153</v>
      </c>
      <c r="I2736" t="s">
        <v>64</v>
      </c>
    </row>
    <row r="2737" spans="1:9">
      <c r="A2737" s="49">
        <v>45745</v>
      </c>
      <c r="B2737" s="50">
        <v>0.5956712962962963</v>
      </c>
      <c r="C2737" t="s">
        <v>155</v>
      </c>
      <c r="D2737" t="s">
        <v>229</v>
      </c>
      <c r="E2737" t="s">
        <v>32</v>
      </c>
      <c r="F2737" t="s">
        <v>1097</v>
      </c>
      <c r="G2737">
        <v>1000</v>
      </c>
      <c r="H2737" t="s">
        <v>153</v>
      </c>
      <c r="I2737" t="s">
        <v>64</v>
      </c>
    </row>
    <row r="2738" spans="1:9">
      <c r="A2738" s="49">
        <v>45745</v>
      </c>
      <c r="B2738" s="50">
        <v>0.5697685185185185</v>
      </c>
      <c r="C2738" t="s">
        <v>150</v>
      </c>
      <c r="D2738" t="s">
        <v>40</v>
      </c>
      <c r="E2738" t="s">
        <v>172</v>
      </c>
      <c r="F2738" t="s">
        <v>173</v>
      </c>
      <c r="G2738">
        <v>-1000</v>
      </c>
      <c r="H2738" t="s">
        <v>153</v>
      </c>
      <c r="I2738" t="s">
        <v>64</v>
      </c>
    </row>
    <row r="2739" spans="1:9">
      <c r="A2739" s="49">
        <v>45745</v>
      </c>
      <c r="B2739" s="50">
        <v>0.5697685185185185</v>
      </c>
      <c r="C2739" t="s">
        <v>150</v>
      </c>
      <c r="D2739" t="s">
        <v>44</v>
      </c>
      <c r="E2739" t="s">
        <v>225</v>
      </c>
      <c r="F2739" t="s">
        <v>395</v>
      </c>
      <c r="G2739">
        <v>1000</v>
      </c>
      <c r="H2739" t="s">
        <v>153</v>
      </c>
      <c r="I2739" t="s">
        <v>171</v>
      </c>
    </row>
    <row r="2740" spans="1:9">
      <c r="A2740" s="49">
        <v>45745</v>
      </c>
      <c r="B2740" s="50">
        <v>0.1990856481481481</v>
      </c>
      <c r="C2740" t="s">
        <v>167</v>
      </c>
      <c r="D2740" t="s">
        <v>28</v>
      </c>
      <c r="E2740" t="s">
        <v>32</v>
      </c>
      <c r="F2740" t="s">
        <v>278</v>
      </c>
      <c r="G2740">
        <v>491</v>
      </c>
      <c r="H2740" t="s">
        <v>153</v>
      </c>
      <c r="I2740" t="s">
        <v>64</v>
      </c>
    </row>
    <row r="2741" spans="1:9">
      <c r="A2741" s="49">
        <v>45745</v>
      </c>
      <c r="B2741" s="50">
        <v>0.108599537037037</v>
      </c>
      <c r="C2741" t="s">
        <v>155</v>
      </c>
      <c r="D2741" t="s">
        <v>241</v>
      </c>
      <c r="E2741" t="s">
        <v>32</v>
      </c>
      <c r="F2741" t="s">
        <v>279</v>
      </c>
      <c r="G2741">
        <v>0</v>
      </c>
      <c r="H2741" t="s">
        <v>153</v>
      </c>
      <c r="I2741" t="s">
        <v>62</v>
      </c>
    </row>
    <row r="2742" spans="1:9">
      <c r="A2742" s="49">
        <v>45745</v>
      </c>
      <c r="B2742" s="50">
        <v>0.08011574074074074</v>
      </c>
      <c r="C2742" t="s">
        <v>150</v>
      </c>
      <c r="D2742" t="s">
        <v>35</v>
      </c>
      <c r="E2742" t="s">
        <v>174</v>
      </c>
      <c r="F2742" t="s">
        <v>314</v>
      </c>
      <c r="G2742">
        <v>-30000</v>
      </c>
      <c r="H2742" t="s">
        <v>153</v>
      </c>
      <c r="I2742" t="s">
        <v>64</v>
      </c>
    </row>
    <row r="2743" spans="1:9">
      <c r="A2743" s="49">
        <v>45744</v>
      </c>
      <c r="B2743" s="50">
        <v>0.893599537037037</v>
      </c>
      <c r="C2743" t="s">
        <v>150</v>
      </c>
      <c r="D2743" t="s">
        <v>37</v>
      </c>
      <c r="E2743" t="s">
        <v>457</v>
      </c>
      <c r="F2743" t="s">
        <v>458</v>
      </c>
      <c r="G2743">
        <v>-34900</v>
      </c>
      <c r="H2743" t="s">
        <v>153</v>
      </c>
      <c r="I2743" t="s">
        <v>214</v>
      </c>
    </row>
    <row r="2744" spans="1:9">
      <c r="A2744" s="49">
        <v>45744</v>
      </c>
      <c r="B2744" s="50">
        <v>0.8698611111111111</v>
      </c>
      <c r="C2744" t="s">
        <v>150</v>
      </c>
      <c r="D2744" t="s">
        <v>40</v>
      </c>
      <c r="E2744" t="s">
        <v>172</v>
      </c>
      <c r="F2744" t="s">
        <v>1098</v>
      </c>
      <c r="G2744">
        <v>-5000</v>
      </c>
      <c r="H2744" t="s">
        <v>153</v>
      </c>
      <c r="I2744" t="s">
        <v>214</v>
      </c>
    </row>
    <row r="2745" spans="1:9">
      <c r="A2745" s="49">
        <v>45744</v>
      </c>
      <c r="B2745" s="50">
        <v>0.7900462962962963</v>
      </c>
      <c r="C2745" t="s">
        <v>155</v>
      </c>
      <c r="D2745" t="s">
        <v>155</v>
      </c>
      <c r="E2745" t="s">
        <v>32</v>
      </c>
      <c r="F2745" t="s">
        <v>525</v>
      </c>
      <c r="G2745">
        <v>300000</v>
      </c>
      <c r="H2745" t="s">
        <v>153</v>
      </c>
      <c r="I2745" t="s">
        <v>64</v>
      </c>
    </row>
    <row r="2746" spans="1:9">
      <c r="A2746" s="49">
        <v>45744</v>
      </c>
      <c r="B2746" s="50">
        <v>0.7502430555555556</v>
      </c>
      <c r="C2746" t="s">
        <v>150</v>
      </c>
      <c r="D2746" t="s">
        <v>37</v>
      </c>
      <c r="E2746" t="s">
        <v>201</v>
      </c>
      <c r="F2746" t="s">
        <v>1099</v>
      </c>
      <c r="G2746">
        <v>-94042</v>
      </c>
      <c r="H2746" t="s">
        <v>153</v>
      </c>
      <c r="I2746" t="s">
        <v>214</v>
      </c>
    </row>
    <row r="2747" spans="1:9">
      <c r="A2747" s="49">
        <v>45744</v>
      </c>
      <c r="B2747" s="50">
        <v>0.6877314814814814</v>
      </c>
      <c r="C2747" t="s">
        <v>150</v>
      </c>
      <c r="D2747" t="s">
        <v>44</v>
      </c>
      <c r="E2747" t="s">
        <v>260</v>
      </c>
      <c r="F2747" t="s">
        <v>1095</v>
      </c>
      <c r="G2747">
        <v>-5500</v>
      </c>
      <c r="H2747" t="s">
        <v>153</v>
      </c>
      <c r="I2747" t="s">
        <v>164</v>
      </c>
    </row>
    <row r="2748" spans="1:9">
      <c r="A2748" s="49">
        <v>45744</v>
      </c>
      <c r="B2748" s="50">
        <v>0.5157291666666667</v>
      </c>
      <c r="C2748" t="s">
        <v>150</v>
      </c>
      <c r="D2748" t="s">
        <v>42</v>
      </c>
      <c r="E2748" t="s">
        <v>593</v>
      </c>
      <c r="F2748" t="s">
        <v>1100</v>
      </c>
      <c r="G2748">
        <v>-37900</v>
      </c>
      <c r="H2748" t="s">
        <v>153</v>
      </c>
      <c r="I2748" t="s">
        <v>214</v>
      </c>
    </row>
    <row r="2749" spans="1:9">
      <c r="A2749" s="49">
        <v>45744</v>
      </c>
      <c r="B2749" s="50">
        <v>0.4104861111111111</v>
      </c>
      <c r="C2749" t="s">
        <v>167</v>
      </c>
      <c r="D2749" t="s">
        <v>31</v>
      </c>
      <c r="E2749" t="s">
        <v>32</v>
      </c>
      <c r="F2749" t="s">
        <v>168</v>
      </c>
      <c r="G2749">
        <v>3000</v>
      </c>
      <c r="H2749" t="s">
        <v>153</v>
      </c>
      <c r="I2749" t="s">
        <v>64</v>
      </c>
    </row>
    <row r="2750" spans="1:9">
      <c r="A2750" s="49">
        <v>45744</v>
      </c>
      <c r="B2750" s="50">
        <v>0.4076041666666667</v>
      </c>
      <c r="C2750" t="s">
        <v>150</v>
      </c>
      <c r="D2750" t="s">
        <v>40</v>
      </c>
      <c r="E2750" t="s">
        <v>172</v>
      </c>
      <c r="F2750" t="s">
        <v>173</v>
      </c>
      <c r="G2750">
        <v>-3000</v>
      </c>
      <c r="H2750" t="s">
        <v>153</v>
      </c>
      <c r="I2750" t="s">
        <v>64</v>
      </c>
    </row>
    <row r="2751" spans="1:9">
      <c r="A2751" s="49">
        <v>45744</v>
      </c>
      <c r="B2751" s="50">
        <v>0.4076041666666667</v>
      </c>
      <c r="C2751" t="s">
        <v>150</v>
      </c>
      <c r="D2751" t="s">
        <v>35</v>
      </c>
      <c r="E2751" t="s">
        <v>169</v>
      </c>
      <c r="F2751" t="s">
        <v>170</v>
      </c>
      <c r="G2751">
        <v>3000</v>
      </c>
      <c r="H2751" t="s">
        <v>153</v>
      </c>
      <c r="I2751" t="s">
        <v>171</v>
      </c>
    </row>
    <row r="2752" spans="1:9">
      <c r="A2752" s="49">
        <v>45744</v>
      </c>
      <c r="B2752" s="50">
        <v>0.05453703703703704</v>
      </c>
      <c r="C2752" t="s">
        <v>167</v>
      </c>
      <c r="D2752" t="s">
        <v>29</v>
      </c>
      <c r="E2752" t="s">
        <v>32</v>
      </c>
      <c r="F2752" t="s">
        <v>302</v>
      </c>
      <c r="G2752">
        <v>800000</v>
      </c>
      <c r="H2752" t="s">
        <v>153</v>
      </c>
      <c r="I2752" t="s">
        <v>64</v>
      </c>
    </row>
    <row r="2753" spans="1:9">
      <c r="A2753" s="49">
        <v>45743</v>
      </c>
      <c r="B2753" s="50">
        <v>0.9658217592592593</v>
      </c>
      <c r="C2753" t="s">
        <v>150</v>
      </c>
      <c r="D2753" t="s">
        <v>35</v>
      </c>
      <c r="E2753" t="s">
        <v>169</v>
      </c>
      <c r="F2753" t="s">
        <v>170</v>
      </c>
      <c r="G2753">
        <v>-1350</v>
      </c>
      <c r="H2753" t="s">
        <v>153</v>
      </c>
      <c r="I2753" t="s">
        <v>171</v>
      </c>
    </row>
    <row r="2754" spans="1:9">
      <c r="A2754" s="49">
        <v>45743</v>
      </c>
      <c r="B2754" s="50">
        <v>0.9658101851851851</v>
      </c>
      <c r="C2754" t="s">
        <v>167</v>
      </c>
      <c r="D2754" t="s">
        <v>31</v>
      </c>
      <c r="E2754" t="s">
        <v>32</v>
      </c>
      <c r="F2754" t="s">
        <v>168</v>
      </c>
      <c r="G2754">
        <v>3000</v>
      </c>
      <c r="H2754" t="s">
        <v>153</v>
      </c>
      <c r="I2754" t="s">
        <v>64</v>
      </c>
    </row>
    <row r="2755" spans="1:9">
      <c r="A2755" s="49">
        <v>45743</v>
      </c>
      <c r="B2755" s="50">
        <v>0.9625462962962963</v>
      </c>
      <c r="C2755" t="s">
        <v>150</v>
      </c>
      <c r="D2755" t="s">
        <v>35</v>
      </c>
      <c r="E2755" t="s">
        <v>169</v>
      </c>
      <c r="F2755" t="s">
        <v>170</v>
      </c>
      <c r="G2755">
        <v>3000</v>
      </c>
      <c r="H2755" t="s">
        <v>153</v>
      </c>
      <c r="I2755" t="s">
        <v>171</v>
      </c>
    </row>
    <row r="2756" spans="1:9">
      <c r="A2756" s="49">
        <v>45743</v>
      </c>
      <c r="B2756" s="50">
        <v>0.9625462962962963</v>
      </c>
      <c r="C2756" t="s">
        <v>150</v>
      </c>
      <c r="D2756" t="s">
        <v>40</v>
      </c>
      <c r="E2756" t="s">
        <v>172</v>
      </c>
      <c r="F2756" t="s">
        <v>173</v>
      </c>
      <c r="G2756">
        <v>-3000</v>
      </c>
      <c r="H2756" t="s">
        <v>153</v>
      </c>
      <c r="I2756" t="s">
        <v>64</v>
      </c>
    </row>
    <row r="2757" spans="1:9">
      <c r="A2757" s="49">
        <v>45743</v>
      </c>
      <c r="B2757" s="50">
        <v>0.8954398148148148</v>
      </c>
      <c r="C2757" t="s">
        <v>150</v>
      </c>
      <c r="D2757" t="s">
        <v>42</v>
      </c>
      <c r="E2757" t="s">
        <v>177</v>
      </c>
      <c r="F2757" t="s">
        <v>192</v>
      </c>
      <c r="G2757">
        <v>-13900</v>
      </c>
      <c r="H2757" t="s">
        <v>153</v>
      </c>
      <c r="I2757" t="s">
        <v>157</v>
      </c>
    </row>
    <row r="2758" spans="1:9">
      <c r="A2758" s="49">
        <v>45743</v>
      </c>
      <c r="B2758" s="50">
        <v>0.8954282407407408</v>
      </c>
      <c r="C2758" t="s">
        <v>155</v>
      </c>
      <c r="D2758" t="s">
        <v>158</v>
      </c>
      <c r="E2758" t="s">
        <v>32</v>
      </c>
      <c r="F2758" t="s">
        <v>159</v>
      </c>
      <c r="G2758">
        <v>10000</v>
      </c>
      <c r="H2758" t="s">
        <v>153</v>
      </c>
      <c r="I2758" t="s">
        <v>157</v>
      </c>
    </row>
    <row r="2759" spans="1:9">
      <c r="A2759" s="49">
        <v>45743</v>
      </c>
      <c r="B2759" s="50">
        <v>0.8954282407407408</v>
      </c>
      <c r="C2759" t="s">
        <v>155</v>
      </c>
      <c r="D2759" t="s">
        <v>158</v>
      </c>
      <c r="E2759" t="s">
        <v>32</v>
      </c>
      <c r="F2759" t="s">
        <v>160</v>
      </c>
      <c r="G2759">
        <v>-10000</v>
      </c>
      <c r="H2759" t="s">
        <v>153</v>
      </c>
      <c r="I2759" t="s">
        <v>64</v>
      </c>
    </row>
    <row r="2760" spans="1:9">
      <c r="A2760" s="49">
        <v>45743</v>
      </c>
      <c r="B2760" s="50">
        <v>0.7142013888888888</v>
      </c>
      <c r="C2760" t="s">
        <v>150</v>
      </c>
      <c r="D2760" t="s">
        <v>44</v>
      </c>
      <c r="E2760" t="s">
        <v>315</v>
      </c>
      <c r="F2760" t="s">
        <v>316</v>
      </c>
      <c r="G2760">
        <v>-29000</v>
      </c>
      <c r="H2760" t="s">
        <v>153</v>
      </c>
      <c r="I2760" t="s">
        <v>164</v>
      </c>
    </row>
    <row r="2761" spans="1:9">
      <c r="A2761" s="49">
        <v>45743</v>
      </c>
      <c r="B2761" s="50">
        <v>0.6900810185185186</v>
      </c>
      <c r="C2761" t="s">
        <v>150</v>
      </c>
      <c r="D2761" t="s">
        <v>35</v>
      </c>
      <c r="E2761" t="s">
        <v>169</v>
      </c>
      <c r="F2761" t="s">
        <v>739</v>
      </c>
      <c r="G2761">
        <v>-1569</v>
      </c>
      <c r="H2761" t="s">
        <v>153</v>
      </c>
      <c r="I2761" t="s">
        <v>164</v>
      </c>
    </row>
    <row r="2762" spans="1:9">
      <c r="A2762" s="49">
        <v>45742</v>
      </c>
      <c r="B2762" s="50">
        <v>0.8252662037037037</v>
      </c>
      <c r="C2762" t="s">
        <v>150</v>
      </c>
      <c r="D2762" t="s">
        <v>40</v>
      </c>
      <c r="E2762" t="s">
        <v>172</v>
      </c>
      <c r="F2762" t="s">
        <v>1064</v>
      </c>
      <c r="G2762">
        <v>-2000</v>
      </c>
      <c r="H2762" t="s">
        <v>153</v>
      </c>
      <c r="I2762" t="s">
        <v>214</v>
      </c>
    </row>
    <row r="2763" spans="1:9">
      <c r="A2763" s="49">
        <v>45742</v>
      </c>
      <c r="B2763" s="50">
        <v>0.8230092592592593</v>
      </c>
      <c r="C2763" t="s">
        <v>150</v>
      </c>
      <c r="D2763" t="s">
        <v>42</v>
      </c>
      <c r="E2763" t="s">
        <v>495</v>
      </c>
      <c r="F2763" t="s">
        <v>1101</v>
      </c>
      <c r="G2763">
        <v>-30000</v>
      </c>
      <c r="H2763" t="s">
        <v>153</v>
      </c>
      <c r="I2763" t="s">
        <v>214</v>
      </c>
    </row>
    <row r="2764" spans="1:9">
      <c r="A2764" s="49">
        <v>45742</v>
      </c>
      <c r="B2764" s="50">
        <v>0.01722222222222222</v>
      </c>
      <c r="C2764" t="s">
        <v>150</v>
      </c>
      <c r="D2764" t="s">
        <v>40</v>
      </c>
      <c r="E2764" t="s">
        <v>172</v>
      </c>
      <c r="F2764" t="s">
        <v>1064</v>
      </c>
      <c r="G2764">
        <v>-1600</v>
      </c>
      <c r="H2764" t="s">
        <v>153</v>
      </c>
      <c r="I2764" t="s">
        <v>214</v>
      </c>
    </row>
    <row r="2765" spans="1:9">
      <c r="A2765" s="49">
        <v>45741</v>
      </c>
      <c r="B2765" s="50">
        <v>0.5465509259259259</v>
      </c>
      <c r="C2765" t="s">
        <v>150</v>
      </c>
      <c r="D2765" t="s">
        <v>42</v>
      </c>
      <c r="E2765" t="s">
        <v>212</v>
      </c>
      <c r="F2765" t="s">
        <v>1102</v>
      </c>
      <c r="G2765">
        <v>-38000</v>
      </c>
      <c r="H2765" t="s">
        <v>153</v>
      </c>
      <c r="I2765" t="s">
        <v>214</v>
      </c>
    </row>
    <row r="2766" spans="1:9">
      <c r="A2766" s="49">
        <v>45741</v>
      </c>
      <c r="B2766" s="50">
        <v>0.4921759259259259</v>
      </c>
      <c r="C2766" t="s">
        <v>167</v>
      </c>
      <c r="D2766" t="s">
        <v>31</v>
      </c>
      <c r="E2766" t="s">
        <v>32</v>
      </c>
      <c r="F2766" t="s">
        <v>168</v>
      </c>
      <c r="G2766">
        <v>3000</v>
      </c>
      <c r="H2766" t="s">
        <v>153</v>
      </c>
      <c r="I2766" t="s">
        <v>64</v>
      </c>
    </row>
    <row r="2767" spans="1:9">
      <c r="A2767" s="49">
        <v>45741</v>
      </c>
      <c r="B2767" s="50">
        <v>0.4921643518518519</v>
      </c>
      <c r="C2767" t="s">
        <v>150</v>
      </c>
      <c r="D2767" t="s">
        <v>35</v>
      </c>
      <c r="E2767" t="s">
        <v>169</v>
      </c>
      <c r="F2767" t="s">
        <v>170</v>
      </c>
      <c r="G2767">
        <v>-1380</v>
      </c>
      <c r="H2767" t="s">
        <v>153</v>
      </c>
      <c r="I2767" t="s">
        <v>171</v>
      </c>
    </row>
    <row r="2768" spans="1:9">
      <c r="A2768" s="49">
        <v>45741</v>
      </c>
      <c r="B2768" s="50">
        <v>0.4881712962962963</v>
      </c>
      <c r="C2768" t="s">
        <v>150</v>
      </c>
      <c r="D2768" t="s">
        <v>40</v>
      </c>
      <c r="E2768" t="s">
        <v>172</v>
      </c>
      <c r="F2768" t="s">
        <v>173</v>
      </c>
      <c r="G2768">
        <v>-3000</v>
      </c>
      <c r="H2768" t="s">
        <v>153</v>
      </c>
      <c r="I2768" t="s">
        <v>64</v>
      </c>
    </row>
    <row r="2769" spans="1:9">
      <c r="A2769" s="49">
        <v>45741</v>
      </c>
      <c r="B2769" s="50">
        <v>0.4881712962962963</v>
      </c>
      <c r="C2769" t="s">
        <v>150</v>
      </c>
      <c r="D2769" t="s">
        <v>35</v>
      </c>
      <c r="E2769" t="s">
        <v>169</v>
      </c>
      <c r="F2769" t="s">
        <v>170</v>
      </c>
      <c r="G2769">
        <v>3000</v>
      </c>
      <c r="H2769" t="s">
        <v>153</v>
      </c>
      <c r="I2769" t="s">
        <v>171</v>
      </c>
    </row>
    <row r="2770" spans="1:9">
      <c r="A2770" s="49">
        <v>45740</v>
      </c>
      <c r="B2770" s="50">
        <v>0.9762731481481481</v>
      </c>
      <c r="C2770" t="s">
        <v>150</v>
      </c>
      <c r="D2770" t="s">
        <v>35</v>
      </c>
      <c r="E2770" t="s">
        <v>169</v>
      </c>
      <c r="F2770" t="s">
        <v>739</v>
      </c>
      <c r="G2770">
        <v>-969</v>
      </c>
      <c r="H2770" t="s">
        <v>153</v>
      </c>
      <c r="I2770" t="s">
        <v>164</v>
      </c>
    </row>
    <row r="2771" spans="1:9">
      <c r="A2771" s="49">
        <v>45740</v>
      </c>
      <c r="B2771" s="50">
        <v>0.9342939814814815</v>
      </c>
      <c r="C2771" t="s">
        <v>150</v>
      </c>
      <c r="D2771" t="s">
        <v>48</v>
      </c>
      <c r="E2771" t="s">
        <v>185</v>
      </c>
      <c r="F2771" t="s">
        <v>905</v>
      </c>
      <c r="G2771">
        <v>-2200</v>
      </c>
      <c r="H2771" t="s">
        <v>153</v>
      </c>
      <c r="I2771" t="s">
        <v>214</v>
      </c>
    </row>
    <row r="2772" spans="1:9">
      <c r="A2772" s="49">
        <v>45740</v>
      </c>
      <c r="B2772" s="50">
        <v>0.8183101851851852</v>
      </c>
      <c r="C2772" t="s">
        <v>150</v>
      </c>
      <c r="D2772" t="s">
        <v>35</v>
      </c>
      <c r="E2772" t="s">
        <v>169</v>
      </c>
      <c r="F2772" t="s">
        <v>170</v>
      </c>
      <c r="G2772">
        <v>-690</v>
      </c>
      <c r="H2772" t="s">
        <v>153</v>
      </c>
      <c r="I2772" t="s">
        <v>171</v>
      </c>
    </row>
    <row r="2773" spans="1:9">
      <c r="A2773" s="49">
        <v>45740</v>
      </c>
      <c r="B2773" s="50">
        <v>0.8182986111111111</v>
      </c>
      <c r="C2773" t="s">
        <v>167</v>
      </c>
      <c r="D2773" t="s">
        <v>31</v>
      </c>
      <c r="E2773" t="s">
        <v>32</v>
      </c>
      <c r="F2773" t="s">
        <v>168</v>
      </c>
      <c r="G2773">
        <v>3000</v>
      </c>
      <c r="H2773" t="s">
        <v>153</v>
      </c>
      <c r="I2773" t="s">
        <v>64</v>
      </c>
    </row>
    <row r="2774" spans="1:9">
      <c r="A2774" s="49">
        <v>45740</v>
      </c>
      <c r="B2774" s="50">
        <v>0.8163310185185185</v>
      </c>
      <c r="C2774" t="s">
        <v>150</v>
      </c>
      <c r="D2774" t="s">
        <v>35</v>
      </c>
      <c r="E2774" t="s">
        <v>169</v>
      </c>
      <c r="F2774" t="s">
        <v>170</v>
      </c>
      <c r="G2774">
        <v>3000</v>
      </c>
      <c r="H2774" t="s">
        <v>153</v>
      </c>
      <c r="I2774" t="s">
        <v>171</v>
      </c>
    </row>
    <row r="2775" spans="1:9">
      <c r="A2775" s="49">
        <v>45740</v>
      </c>
      <c r="B2775" s="50">
        <v>0.8163194444444445</v>
      </c>
      <c r="C2775" t="s">
        <v>150</v>
      </c>
      <c r="D2775" t="s">
        <v>40</v>
      </c>
      <c r="E2775" t="s">
        <v>172</v>
      </c>
      <c r="F2775" t="s">
        <v>173</v>
      </c>
      <c r="G2775">
        <v>-3000</v>
      </c>
      <c r="H2775" t="s">
        <v>153</v>
      </c>
      <c r="I2775" t="s">
        <v>64</v>
      </c>
    </row>
    <row r="2776" spans="1:9">
      <c r="A2776" s="49">
        <v>45740</v>
      </c>
      <c r="B2776" s="50">
        <v>0.7752430555555555</v>
      </c>
      <c r="C2776" t="s">
        <v>150</v>
      </c>
      <c r="D2776" t="s">
        <v>35</v>
      </c>
      <c r="E2776" t="s">
        <v>169</v>
      </c>
      <c r="F2776" t="s">
        <v>739</v>
      </c>
      <c r="G2776">
        <v>-1246</v>
      </c>
      <c r="H2776" t="s">
        <v>153</v>
      </c>
      <c r="I2776" t="s">
        <v>164</v>
      </c>
    </row>
    <row r="2777" spans="1:9">
      <c r="A2777" s="49">
        <v>45739</v>
      </c>
      <c r="B2777" s="50">
        <v>0.6412268518518518</v>
      </c>
      <c r="C2777" t="s">
        <v>155</v>
      </c>
      <c r="D2777" t="s">
        <v>155</v>
      </c>
      <c r="E2777" t="s">
        <v>32</v>
      </c>
      <c r="F2777" t="s">
        <v>246</v>
      </c>
      <c r="G2777">
        <v>-32710</v>
      </c>
      <c r="H2777" t="s">
        <v>153</v>
      </c>
      <c r="I2777" t="s">
        <v>64</v>
      </c>
    </row>
    <row r="2778" spans="1:9">
      <c r="A2778" s="49">
        <v>45739</v>
      </c>
      <c r="B2778" s="50">
        <v>0.6308564814814814</v>
      </c>
      <c r="C2778" t="s">
        <v>167</v>
      </c>
      <c r="D2778" t="s">
        <v>31</v>
      </c>
      <c r="E2778" t="s">
        <v>32</v>
      </c>
      <c r="F2778" t="s">
        <v>168</v>
      </c>
      <c r="G2778">
        <v>3000</v>
      </c>
      <c r="H2778" t="s">
        <v>153</v>
      </c>
      <c r="I2778" t="s">
        <v>64</v>
      </c>
    </row>
    <row r="2779" spans="1:9">
      <c r="A2779" s="49">
        <v>45739</v>
      </c>
      <c r="B2779" s="50">
        <v>0.6307986111111111</v>
      </c>
      <c r="C2779" t="s">
        <v>150</v>
      </c>
      <c r="D2779" t="s">
        <v>35</v>
      </c>
      <c r="E2779" t="s">
        <v>169</v>
      </c>
      <c r="F2779" t="s">
        <v>170</v>
      </c>
      <c r="G2779">
        <v>-1610</v>
      </c>
      <c r="H2779" t="s">
        <v>153</v>
      </c>
      <c r="I2779" t="s">
        <v>171</v>
      </c>
    </row>
    <row r="2780" spans="1:9">
      <c r="A2780" s="49">
        <v>45739</v>
      </c>
      <c r="B2780" s="50">
        <v>0.6263773148148148</v>
      </c>
      <c r="C2780" t="s">
        <v>150</v>
      </c>
      <c r="D2780" t="s">
        <v>40</v>
      </c>
      <c r="E2780" t="s">
        <v>172</v>
      </c>
      <c r="F2780" t="s">
        <v>173</v>
      </c>
      <c r="G2780">
        <v>-3000</v>
      </c>
      <c r="H2780" t="s">
        <v>153</v>
      </c>
      <c r="I2780" t="s">
        <v>64</v>
      </c>
    </row>
    <row r="2781" spans="1:9">
      <c r="A2781" s="49">
        <v>45739</v>
      </c>
      <c r="B2781" s="50">
        <v>0.6263773148148148</v>
      </c>
      <c r="C2781" t="s">
        <v>150</v>
      </c>
      <c r="D2781" t="s">
        <v>35</v>
      </c>
      <c r="E2781" t="s">
        <v>169</v>
      </c>
      <c r="F2781" t="s">
        <v>170</v>
      </c>
      <c r="G2781">
        <v>3000</v>
      </c>
      <c r="H2781" t="s">
        <v>153</v>
      </c>
      <c r="I2781" t="s">
        <v>171</v>
      </c>
    </row>
    <row r="2782" spans="1:9">
      <c r="A2782" s="49">
        <v>45739</v>
      </c>
      <c r="B2782" s="50">
        <v>0.5670833333333334</v>
      </c>
      <c r="C2782" t="s">
        <v>150</v>
      </c>
      <c r="D2782" t="s">
        <v>48</v>
      </c>
      <c r="E2782" t="s">
        <v>574</v>
      </c>
      <c r="F2782" t="s">
        <v>1103</v>
      </c>
      <c r="G2782">
        <v>-600</v>
      </c>
      <c r="H2782" t="s">
        <v>153</v>
      </c>
      <c r="I2782" t="s">
        <v>214</v>
      </c>
    </row>
    <row r="2783" spans="1:9">
      <c r="A2783" s="49">
        <v>45739</v>
      </c>
      <c r="B2783" s="50">
        <v>0.4481134259259259</v>
      </c>
      <c r="C2783" t="s">
        <v>150</v>
      </c>
      <c r="D2783" t="s">
        <v>37</v>
      </c>
      <c r="E2783" t="s">
        <v>486</v>
      </c>
      <c r="F2783" t="s">
        <v>1104</v>
      </c>
      <c r="G2783">
        <v>-1000</v>
      </c>
      <c r="H2783" t="s">
        <v>153</v>
      </c>
      <c r="I2783" t="s">
        <v>171</v>
      </c>
    </row>
    <row r="2784" spans="1:9">
      <c r="A2784" s="49">
        <v>45739</v>
      </c>
      <c r="B2784" s="50">
        <v>0.3095949074074074</v>
      </c>
      <c r="C2784" t="s">
        <v>150</v>
      </c>
      <c r="D2784" t="s">
        <v>35</v>
      </c>
      <c r="E2784" t="s">
        <v>169</v>
      </c>
      <c r="F2784" t="s">
        <v>739</v>
      </c>
      <c r="G2784">
        <v>-1408</v>
      </c>
      <c r="H2784" t="s">
        <v>153</v>
      </c>
      <c r="I2784" t="s">
        <v>164</v>
      </c>
    </row>
    <row r="2785" spans="1:9">
      <c r="A2785" s="49">
        <v>45739</v>
      </c>
      <c r="B2785" s="50">
        <v>0.04143518518518519</v>
      </c>
      <c r="C2785" t="s">
        <v>150</v>
      </c>
      <c r="D2785" t="s">
        <v>35</v>
      </c>
      <c r="E2785" t="s">
        <v>174</v>
      </c>
      <c r="F2785" t="s">
        <v>314</v>
      </c>
      <c r="G2785">
        <v>-10000</v>
      </c>
      <c r="H2785" t="s">
        <v>153</v>
      </c>
      <c r="I278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2026-03-23T10:13:19Z</dcterms:created>
  <dcterms:modified xsi:type="dcterms:W3CDTF">2026-03-23T10:13:19Z</dcterms:modified>
</cp:coreProperties>
</file>